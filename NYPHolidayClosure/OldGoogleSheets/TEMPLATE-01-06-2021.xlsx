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EdocsGitHub\NYPHolidayClosure\"/>
    </mc:Choice>
  </mc:AlternateContent>
  <bookViews>
    <workbookView xWindow="0" yWindow="0" windowWidth="13320" windowHeight="7260" activeTab="6"/>
  </bookViews>
  <sheets>
    <sheet name="PUBLIC" sheetId="1" r:id="rId1"/>
    <sheet name="OPEN" sheetId="2" r:id="rId2"/>
    <sheet name="CLOSED" sheetId="3" r:id="rId3"/>
    <sheet name="INFO" sheetId="4" r:id="rId4"/>
    <sheet name="MASTER" sheetId="5" r:id="rId5"/>
    <sheet name="RESPONSES" sheetId="6" r:id="rId6"/>
    <sheet name="UNKNOWN" sheetId="7" r:id="rId7"/>
  </sheets>
  <definedNames>
    <definedName name="SCHEDULE">MASTER!$A:$S</definedName>
  </definedNames>
  <calcPr calcId="162913"/>
</workbook>
</file>

<file path=xl/calcChain.xml><?xml version="1.0" encoding="utf-8"?>
<calcChain xmlns="http://schemas.openxmlformats.org/spreadsheetml/2006/main">
  <c r="T1" i="5" l="1" a="1"/>
  <c r="T129" i="5" s="1"/>
  <c r="G160" i="5"/>
  <c r="G92" i="5"/>
  <c r="G28" i="5"/>
  <c r="G1" i="5" a="1"/>
  <c r="G232" i="5" s="1"/>
  <c r="B1" i="5" a="1"/>
  <c r="B245" i="5" s="1"/>
  <c r="A242" i="5"/>
  <c r="A229" i="5"/>
  <c r="A219" i="5"/>
  <c r="A208" i="5"/>
  <c r="A197" i="5"/>
  <c r="A187" i="5"/>
  <c r="A179" i="5"/>
  <c r="A176" i="5"/>
  <c r="A168" i="5"/>
  <c r="A165" i="5"/>
  <c r="A157" i="5"/>
  <c r="A155" i="5"/>
  <c r="A147" i="5"/>
  <c r="A144" i="5"/>
  <c r="A136" i="5"/>
  <c r="A133" i="5"/>
  <c r="A125" i="5"/>
  <c r="A123" i="5"/>
  <c r="A115" i="5"/>
  <c r="A112" i="5"/>
  <c r="A104" i="5"/>
  <c r="A101" i="5"/>
  <c r="A93" i="5"/>
  <c r="A91" i="5"/>
  <c r="A83" i="5"/>
  <c r="A80" i="5"/>
  <c r="A72" i="5"/>
  <c r="A69" i="5"/>
  <c r="A61" i="5"/>
  <c r="A59" i="5"/>
  <c r="A51" i="5"/>
  <c r="A48" i="5"/>
  <c r="A40" i="5"/>
  <c r="A37" i="5"/>
  <c r="A29" i="5"/>
  <c r="A27" i="5"/>
  <c r="A19" i="5"/>
  <c r="A16" i="5"/>
  <c r="A8" i="5"/>
  <c r="A5" i="5"/>
  <c r="A1" i="5" a="1"/>
  <c r="A254" i="5" s="1"/>
  <c r="A1" i="5"/>
  <c r="A2" i="7"/>
  <c r="A2" i="3"/>
  <c r="A1" i="6"/>
  <c r="A2" i="2"/>
  <c r="A1" i="7"/>
  <c r="A2" i="1"/>
  <c r="A1" i="3"/>
  <c r="A1" i="1"/>
  <c r="A1" i="2"/>
  <c r="B21" i="5" l="1"/>
  <c r="B63" i="5"/>
  <c r="B106" i="5"/>
  <c r="B149" i="5"/>
  <c r="B191" i="5"/>
  <c r="B234" i="5"/>
  <c r="B31" i="5"/>
  <c r="B74" i="5"/>
  <c r="B117" i="5"/>
  <c r="B159" i="5"/>
  <c r="B202" i="5"/>
  <c r="B254" i="5"/>
  <c r="B253" i="5"/>
  <c r="B242" i="5"/>
  <c r="B231" i="5"/>
  <c r="B221" i="5"/>
  <c r="B210" i="5"/>
  <c r="B199" i="5"/>
  <c r="B189" i="5"/>
  <c r="B178" i="5"/>
  <c r="B167" i="5"/>
  <c r="B157" i="5"/>
  <c r="B146" i="5"/>
  <c r="B135" i="5"/>
  <c r="B125" i="5"/>
  <c r="B114" i="5"/>
  <c r="B103" i="5"/>
  <c r="B93" i="5"/>
  <c r="B82" i="5"/>
  <c r="B71" i="5"/>
  <c r="B61" i="5"/>
  <c r="B50" i="5"/>
  <c r="B39" i="5"/>
  <c r="B29" i="5"/>
  <c r="B18" i="5"/>
  <c r="B7" i="5"/>
  <c r="B247" i="5"/>
  <c r="B237" i="5"/>
  <c r="B226" i="5"/>
  <c r="B215" i="5"/>
  <c r="B205" i="5"/>
  <c r="B194" i="5"/>
  <c r="B183" i="5"/>
  <c r="B173" i="5"/>
  <c r="B162" i="5"/>
  <c r="B151" i="5"/>
  <c r="B141" i="5"/>
  <c r="B130" i="5"/>
  <c r="B119" i="5"/>
  <c r="B109" i="5"/>
  <c r="B98" i="5"/>
  <c r="B87" i="5"/>
  <c r="B77" i="5"/>
  <c r="B66" i="5"/>
  <c r="B55" i="5"/>
  <c r="B45" i="5"/>
  <c r="B34" i="5"/>
  <c r="B23" i="5"/>
  <c r="B13" i="5"/>
  <c r="B2" i="5"/>
  <c r="B250" i="5"/>
  <c r="B239" i="5"/>
  <c r="B229" i="5"/>
  <c r="B218" i="5"/>
  <c r="B207" i="5"/>
  <c r="B197" i="5"/>
  <c r="B186" i="5"/>
  <c r="B175" i="5"/>
  <c r="B165" i="5"/>
  <c r="B154" i="5"/>
  <c r="B143" i="5"/>
  <c r="B133" i="5"/>
  <c r="B122" i="5"/>
  <c r="B111" i="5"/>
  <c r="B101" i="5"/>
  <c r="B90" i="5"/>
  <c r="B79" i="5"/>
  <c r="B69" i="5"/>
  <c r="B58" i="5"/>
  <c r="B47" i="5"/>
  <c r="B37" i="5"/>
  <c r="B26" i="5"/>
  <c r="B15" i="5"/>
  <c r="B5" i="5"/>
  <c r="B42" i="5"/>
  <c r="B85" i="5"/>
  <c r="B127" i="5"/>
  <c r="B170" i="5"/>
  <c r="B213" i="5"/>
  <c r="B255" i="5"/>
  <c r="B10" i="5"/>
  <c r="B53" i="5"/>
  <c r="B95" i="5"/>
  <c r="B138" i="5"/>
  <c r="B181" i="5"/>
  <c r="B223" i="5"/>
  <c r="G44" i="5"/>
  <c r="G108" i="5"/>
  <c r="G192" i="5"/>
  <c r="A11" i="5"/>
  <c r="A21" i="5"/>
  <c r="A32" i="5"/>
  <c r="A43" i="5"/>
  <c r="A53" i="5"/>
  <c r="A64" i="5"/>
  <c r="A75" i="5"/>
  <c r="A85" i="5"/>
  <c r="A96" i="5"/>
  <c r="A107" i="5"/>
  <c r="A117" i="5"/>
  <c r="A128" i="5"/>
  <c r="A139" i="5"/>
  <c r="A149" i="5"/>
  <c r="A160" i="5"/>
  <c r="A171" i="5"/>
  <c r="A181" i="5"/>
  <c r="A192" i="5"/>
  <c r="A203" i="5"/>
  <c r="A213" i="5"/>
  <c r="A224" i="5"/>
  <c r="A235" i="5"/>
  <c r="A248" i="5"/>
  <c r="G6" i="5"/>
  <c r="G60" i="5"/>
  <c r="G124" i="5"/>
  <c r="G224" i="5"/>
  <c r="A189" i="5"/>
  <c r="A200" i="5"/>
  <c r="A211" i="5"/>
  <c r="A221" i="5"/>
  <c r="A232" i="5"/>
  <c r="A246" i="5"/>
  <c r="A3" i="5"/>
  <c r="A13" i="5"/>
  <c r="A24" i="5"/>
  <c r="A35" i="5"/>
  <c r="A45" i="5"/>
  <c r="A56" i="5"/>
  <c r="A67" i="5"/>
  <c r="A77" i="5"/>
  <c r="A88" i="5"/>
  <c r="A99" i="5"/>
  <c r="A109" i="5"/>
  <c r="A120" i="5"/>
  <c r="A131" i="5"/>
  <c r="A141" i="5"/>
  <c r="A152" i="5"/>
  <c r="A163" i="5"/>
  <c r="A173" i="5"/>
  <c r="A184" i="5"/>
  <c r="A195" i="5"/>
  <c r="A205" i="5"/>
  <c r="A216" i="5"/>
  <c r="A227" i="5"/>
  <c r="A238" i="5"/>
  <c r="A256" i="5"/>
  <c r="G17" i="5"/>
  <c r="G76" i="5"/>
  <c r="G140" i="5"/>
  <c r="G256" i="5"/>
  <c r="L1" i="6" a="1"/>
  <c r="A252" i="5"/>
  <c r="A4" i="5"/>
  <c r="A9" i="5"/>
  <c r="A15" i="5"/>
  <c r="A20" i="5"/>
  <c r="A25" i="5"/>
  <c r="A31" i="5"/>
  <c r="A36" i="5"/>
  <c r="A41" i="5"/>
  <c r="A47" i="5"/>
  <c r="A52" i="5"/>
  <c r="A57" i="5"/>
  <c r="A63" i="5"/>
  <c r="A68" i="5"/>
  <c r="A73" i="5"/>
  <c r="A79" i="5"/>
  <c r="A84" i="5"/>
  <c r="A89" i="5"/>
  <c r="A95" i="5"/>
  <c r="A100" i="5"/>
  <c r="A105" i="5"/>
  <c r="A111" i="5"/>
  <c r="A116" i="5"/>
  <c r="A121" i="5"/>
  <c r="A127" i="5"/>
  <c r="A132" i="5"/>
  <c r="A137" i="5"/>
  <c r="A143" i="5"/>
  <c r="A148" i="5"/>
  <c r="A153" i="5"/>
  <c r="A159" i="5"/>
  <c r="A164" i="5"/>
  <c r="A169" i="5"/>
  <c r="A175" i="5"/>
  <c r="A180" i="5"/>
  <c r="A185" i="5"/>
  <c r="A191" i="5"/>
  <c r="A196" i="5"/>
  <c r="A201" i="5"/>
  <c r="A207" i="5"/>
  <c r="A212" i="5"/>
  <c r="A217" i="5"/>
  <c r="A223" i="5"/>
  <c r="A228" i="5"/>
  <c r="A233" i="5"/>
  <c r="A240" i="5"/>
  <c r="A247" i="5"/>
  <c r="G4" i="5"/>
  <c r="G14" i="5"/>
  <c r="G25" i="5"/>
  <c r="G40" i="5"/>
  <c r="G56" i="5"/>
  <c r="G72" i="5"/>
  <c r="G88" i="5"/>
  <c r="G104" i="5"/>
  <c r="G120" i="5"/>
  <c r="G136" i="5"/>
  <c r="G152" i="5"/>
  <c r="G184" i="5"/>
  <c r="G216" i="5"/>
  <c r="G248" i="5"/>
  <c r="A253" i="5"/>
  <c r="A249" i="5"/>
  <c r="A245" i="5"/>
  <c r="A241" i="5"/>
  <c r="A237" i="5"/>
  <c r="A255" i="5"/>
  <c r="A250" i="5"/>
  <c r="A244" i="5"/>
  <c r="A239" i="5"/>
  <c r="A234" i="5"/>
  <c r="A230" i="5"/>
  <c r="A226" i="5"/>
  <c r="A222" i="5"/>
  <c r="A218" i="5"/>
  <c r="A214" i="5"/>
  <c r="A210" i="5"/>
  <c r="A206" i="5"/>
  <c r="A202" i="5"/>
  <c r="A198" i="5"/>
  <c r="A194" i="5"/>
  <c r="A190" i="5"/>
  <c r="A186" i="5"/>
  <c r="A182" i="5"/>
  <c r="A178" i="5"/>
  <c r="A174" i="5"/>
  <c r="A170" i="5"/>
  <c r="A166" i="5"/>
  <c r="A162" i="5"/>
  <c r="A158" i="5"/>
  <c r="A154" i="5"/>
  <c r="A150" i="5"/>
  <c r="A146" i="5"/>
  <c r="A142" i="5"/>
  <c r="A138" i="5"/>
  <c r="A134" i="5"/>
  <c r="A130" i="5"/>
  <c r="A126" i="5"/>
  <c r="A122" i="5"/>
  <c r="A118" i="5"/>
  <c r="A114" i="5"/>
  <c r="A110" i="5"/>
  <c r="A106" i="5"/>
  <c r="A102" i="5"/>
  <c r="A98" i="5"/>
  <c r="A94" i="5"/>
  <c r="A90" i="5"/>
  <c r="A86" i="5"/>
  <c r="A82" i="5"/>
  <c r="A78" i="5"/>
  <c r="A74" i="5"/>
  <c r="A70" i="5"/>
  <c r="A66" i="5"/>
  <c r="A62" i="5"/>
  <c r="A58" i="5"/>
  <c r="A54" i="5"/>
  <c r="A50" i="5"/>
  <c r="A46" i="5"/>
  <c r="A42" i="5"/>
  <c r="A38" i="5"/>
  <c r="A34" i="5"/>
  <c r="A30" i="5"/>
  <c r="A26" i="5"/>
  <c r="A22" i="5"/>
  <c r="A18" i="5"/>
  <c r="A14" i="5"/>
  <c r="A10" i="5"/>
  <c r="A6" i="5"/>
  <c r="A2" i="5"/>
  <c r="A7" i="5"/>
  <c r="A12" i="5"/>
  <c r="A17" i="5"/>
  <c r="A23" i="5"/>
  <c r="A28" i="5"/>
  <c r="A33" i="5"/>
  <c r="A39" i="5"/>
  <c r="A44" i="5"/>
  <c r="A49" i="5"/>
  <c r="A55" i="5"/>
  <c r="A60" i="5"/>
  <c r="A65" i="5"/>
  <c r="A71" i="5"/>
  <c r="A76" i="5"/>
  <c r="A81" i="5"/>
  <c r="A87" i="5"/>
  <c r="A92" i="5"/>
  <c r="A97" i="5"/>
  <c r="A103" i="5"/>
  <c r="A108" i="5"/>
  <c r="A113" i="5"/>
  <c r="A119" i="5"/>
  <c r="A124" i="5"/>
  <c r="A129" i="5"/>
  <c r="A135" i="5"/>
  <c r="A140" i="5"/>
  <c r="A145" i="5"/>
  <c r="A151" i="5"/>
  <c r="A156" i="5"/>
  <c r="A161" i="5"/>
  <c r="A167" i="5"/>
  <c r="A172" i="5"/>
  <c r="A177" i="5"/>
  <c r="A183" i="5"/>
  <c r="A188" i="5"/>
  <c r="A193" i="5"/>
  <c r="A199" i="5"/>
  <c r="A204" i="5"/>
  <c r="A209" i="5"/>
  <c r="A215" i="5"/>
  <c r="A220" i="5"/>
  <c r="A225" i="5"/>
  <c r="A231" i="5"/>
  <c r="A236" i="5"/>
  <c r="A243" i="5"/>
  <c r="A251" i="5"/>
  <c r="G9" i="5"/>
  <c r="G20" i="5"/>
  <c r="G32" i="5"/>
  <c r="G48" i="5"/>
  <c r="G64" i="5"/>
  <c r="G80" i="5"/>
  <c r="G96" i="5"/>
  <c r="G112" i="5"/>
  <c r="G128" i="5"/>
  <c r="G144" i="5"/>
  <c r="G168" i="5"/>
  <c r="G200" i="5"/>
  <c r="G255" i="5"/>
  <c r="G251" i="5"/>
  <c r="G247" i="5"/>
  <c r="G243" i="5"/>
  <c r="G239" i="5"/>
  <c r="G235" i="5"/>
  <c r="G231" i="5"/>
  <c r="G227" i="5"/>
  <c r="G223" i="5"/>
  <c r="G219" i="5"/>
  <c r="G215" i="5"/>
  <c r="G211" i="5"/>
  <c r="G207" i="5"/>
  <c r="G203" i="5"/>
  <c r="G199" i="5"/>
  <c r="G195" i="5"/>
  <c r="G191" i="5"/>
  <c r="G187" i="5"/>
  <c r="G183" i="5"/>
  <c r="G179" i="5"/>
  <c r="G175" i="5"/>
  <c r="G171" i="5"/>
  <c r="G167" i="5"/>
  <c r="G163" i="5"/>
  <c r="G159" i="5"/>
  <c r="G155" i="5"/>
  <c r="G151" i="5"/>
  <c r="G147" i="5"/>
  <c r="G143" i="5"/>
  <c r="G139" i="5"/>
  <c r="G135" i="5"/>
  <c r="G131" i="5"/>
  <c r="G127" i="5"/>
  <c r="G123" i="5"/>
  <c r="G119" i="5"/>
  <c r="G115" i="5"/>
  <c r="G111" i="5"/>
  <c r="G107" i="5"/>
  <c r="G103" i="5"/>
  <c r="G99" i="5"/>
  <c r="G95" i="5"/>
  <c r="G91" i="5"/>
  <c r="G87" i="5"/>
  <c r="G83" i="5"/>
  <c r="G79" i="5"/>
  <c r="G75" i="5"/>
  <c r="G71" i="5"/>
  <c r="G67" i="5"/>
  <c r="G63" i="5"/>
  <c r="G59" i="5"/>
  <c r="G55" i="5"/>
  <c r="G51" i="5"/>
  <c r="G47" i="5"/>
  <c r="G43" i="5"/>
  <c r="G39" i="5"/>
  <c r="G35" i="5"/>
  <c r="G31" i="5"/>
  <c r="G27" i="5"/>
  <c r="G23" i="5"/>
  <c r="G19" i="5"/>
  <c r="G15" i="5"/>
  <c r="G11" i="5"/>
  <c r="G7" i="5"/>
  <c r="G3" i="5"/>
  <c r="G254" i="5"/>
  <c r="G250" i="5"/>
  <c r="G246" i="5"/>
  <c r="G242" i="5"/>
  <c r="G238" i="5"/>
  <c r="G234" i="5"/>
  <c r="G230" i="5"/>
  <c r="G226" i="5"/>
  <c r="G222" i="5"/>
  <c r="G218" i="5"/>
  <c r="G214" i="5"/>
  <c r="G210" i="5"/>
  <c r="G206" i="5"/>
  <c r="G202" i="5"/>
  <c r="G198" i="5"/>
  <c r="G194" i="5"/>
  <c r="G190" i="5"/>
  <c r="G186" i="5"/>
  <c r="G182" i="5"/>
  <c r="G178" i="5"/>
  <c r="G174" i="5"/>
  <c r="G170" i="5"/>
  <c r="G166" i="5"/>
  <c r="G162" i="5"/>
  <c r="G158" i="5"/>
  <c r="G154" i="5"/>
  <c r="G150" i="5"/>
  <c r="G146" i="5"/>
  <c r="G142" i="5"/>
  <c r="G138" i="5"/>
  <c r="G134" i="5"/>
  <c r="G130" i="5"/>
  <c r="G126" i="5"/>
  <c r="G122" i="5"/>
  <c r="G118" i="5"/>
  <c r="G114" i="5"/>
  <c r="G110" i="5"/>
  <c r="G106" i="5"/>
  <c r="G102" i="5"/>
  <c r="G98" i="5"/>
  <c r="G94" i="5"/>
  <c r="G90" i="5"/>
  <c r="G86" i="5"/>
  <c r="G82" i="5"/>
  <c r="G78" i="5"/>
  <c r="G74" i="5"/>
  <c r="G70" i="5"/>
  <c r="G66" i="5"/>
  <c r="G62" i="5"/>
  <c r="G58" i="5"/>
  <c r="G54" i="5"/>
  <c r="G50" i="5"/>
  <c r="G46" i="5"/>
  <c r="G42" i="5"/>
  <c r="G38" i="5"/>
  <c r="G34" i="5"/>
  <c r="G30" i="5"/>
  <c r="G249" i="5"/>
  <c r="G241" i="5"/>
  <c r="G233" i="5"/>
  <c r="G225" i="5"/>
  <c r="G217" i="5"/>
  <c r="G209" i="5"/>
  <c r="G201" i="5"/>
  <c r="G193" i="5"/>
  <c r="G185" i="5"/>
  <c r="G177" i="5"/>
  <c r="G169" i="5"/>
  <c r="G161" i="5"/>
  <c r="G153" i="5"/>
  <c r="G145" i="5"/>
  <c r="G137" i="5"/>
  <c r="G129" i="5"/>
  <c r="G121" i="5"/>
  <c r="G113" i="5"/>
  <c r="G105" i="5"/>
  <c r="G97" i="5"/>
  <c r="G89" i="5"/>
  <c r="G81" i="5"/>
  <c r="G73" i="5"/>
  <c r="G65" i="5"/>
  <c r="G57" i="5"/>
  <c r="G49" i="5"/>
  <c r="G41" i="5"/>
  <c r="G33" i="5"/>
  <c r="G26" i="5"/>
  <c r="G21" i="5"/>
  <c r="G16" i="5"/>
  <c r="G10" i="5"/>
  <c r="G5" i="5"/>
  <c r="G1" i="5"/>
  <c r="G253" i="5"/>
  <c r="G245" i="5"/>
  <c r="G237" i="5"/>
  <c r="G229" i="5"/>
  <c r="G221" i="5"/>
  <c r="G213" i="5"/>
  <c r="G205" i="5"/>
  <c r="G197" i="5"/>
  <c r="G189" i="5"/>
  <c r="G181" i="5"/>
  <c r="G173" i="5"/>
  <c r="G165" i="5"/>
  <c r="G157" i="5"/>
  <c r="G149" i="5"/>
  <c r="G141" i="5"/>
  <c r="G133" i="5"/>
  <c r="G125" i="5"/>
  <c r="G117" i="5"/>
  <c r="G109" i="5"/>
  <c r="G101" i="5"/>
  <c r="G93" i="5"/>
  <c r="G85" i="5"/>
  <c r="G77" i="5"/>
  <c r="G69" i="5"/>
  <c r="G61" i="5"/>
  <c r="G53" i="5"/>
  <c r="G45" i="5"/>
  <c r="G37" i="5"/>
  <c r="G29" i="5"/>
  <c r="G24" i="5"/>
  <c r="G18" i="5"/>
  <c r="G13" i="5"/>
  <c r="G8" i="5"/>
  <c r="G2" i="5"/>
  <c r="G252" i="5"/>
  <c r="G244" i="5"/>
  <c r="G236" i="5"/>
  <c r="G228" i="5"/>
  <c r="G220" i="5"/>
  <c r="G212" i="5"/>
  <c r="G204" i="5"/>
  <c r="G196" i="5"/>
  <c r="G188" i="5"/>
  <c r="G180" i="5"/>
  <c r="G172" i="5"/>
  <c r="G164" i="5"/>
  <c r="G156" i="5"/>
  <c r="G12" i="5"/>
  <c r="G22" i="5"/>
  <c r="G36" i="5"/>
  <c r="G52" i="5"/>
  <c r="G68" i="5"/>
  <c r="G84" i="5"/>
  <c r="G100" i="5"/>
  <c r="G116" i="5"/>
  <c r="G132" i="5"/>
  <c r="G148" i="5"/>
  <c r="G176" i="5"/>
  <c r="G208" i="5"/>
  <c r="G240" i="5"/>
  <c r="T86" i="5"/>
  <c r="B3" i="5"/>
  <c r="B9" i="5"/>
  <c r="B14" i="5"/>
  <c r="B19" i="5"/>
  <c r="B25" i="5"/>
  <c r="B30" i="5"/>
  <c r="B35" i="5"/>
  <c r="B41" i="5"/>
  <c r="B46" i="5"/>
  <c r="B51" i="5"/>
  <c r="B57" i="5"/>
  <c r="B62" i="5"/>
  <c r="B67" i="5"/>
  <c r="B73" i="5"/>
  <c r="B78" i="5"/>
  <c r="B83" i="5"/>
  <c r="B89" i="5"/>
  <c r="B94" i="5"/>
  <c r="B99" i="5"/>
  <c r="B105" i="5"/>
  <c r="B110" i="5"/>
  <c r="B115" i="5"/>
  <c r="B121" i="5"/>
  <c r="B126" i="5"/>
  <c r="B131" i="5"/>
  <c r="B137" i="5"/>
  <c r="B142" i="5"/>
  <c r="B147" i="5"/>
  <c r="B153" i="5"/>
  <c r="B158" i="5"/>
  <c r="B163" i="5"/>
  <c r="B169" i="5"/>
  <c r="B174" i="5"/>
  <c r="B179" i="5"/>
  <c r="B185" i="5"/>
  <c r="B190" i="5"/>
  <c r="B195" i="5"/>
  <c r="B201" i="5"/>
  <c r="B206" i="5"/>
  <c r="B211" i="5"/>
  <c r="B217" i="5"/>
  <c r="B222" i="5"/>
  <c r="B227" i="5"/>
  <c r="B233" i="5"/>
  <c r="B238" i="5"/>
  <c r="B243" i="5"/>
  <c r="B249" i="5"/>
  <c r="T256" i="5"/>
  <c r="T252" i="5"/>
  <c r="T248" i="5"/>
  <c r="T244" i="5"/>
  <c r="T240" i="5"/>
  <c r="T236" i="5"/>
  <c r="T232" i="5"/>
  <c r="T228" i="5"/>
  <c r="T224" i="5"/>
  <c r="T220" i="5"/>
  <c r="T216" i="5"/>
  <c r="T212" i="5"/>
  <c r="T208" i="5"/>
  <c r="T204" i="5"/>
  <c r="T200" i="5"/>
  <c r="T196" i="5"/>
  <c r="T192" i="5"/>
  <c r="T188" i="5"/>
  <c r="T184" i="5"/>
  <c r="T180" i="5"/>
  <c r="T176" i="5"/>
  <c r="T172" i="5"/>
  <c r="T168" i="5"/>
  <c r="T164" i="5"/>
  <c r="T160" i="5"/>
  <c r="T156" i="5"/>
  <c r="T152" i="5"/>
  <c r="T148" i="5"/>
  <c r="T144" i="5"/>
  <c r="T140" i="5"/>
  <c r="T136" i="5"/>
  <c r="T132" i="5"/>
  <c r="T128" i="5"/>
  <c r="T124" i="5"/>
  <c r="T120" i="5"/>
  <c r="T116" i="5"/>
  <c r="T112" i="5"/>
  <c r="T108" i="5"/>
  <c r="T104" i="5"/>
  <c r="T100" i="5"/>
  <c r="T96" i="5"/>
  <c r="T92" i="5"/>
  <c r="T88" i="5"/>
  <c r="T84" i="5"/>
  <c r="T80" i="5"/>
  <c r="T76" i="5"/>
  <c r="T72" i="5"/>
  <c r="T68" i="5"/>
  <c r="T64" i="5"/>
  <c r="T60" i="5"/>
  <c r="T56" i="5"/>
  <c r="T52" i="5"/>
  <c r="T48" i="5"/>
  <c r="T44" i="5"/>
  <c r="T40" i="5"/>
  <c r="T36" i="5"/>
  <c r="T32" i="5"/>
  <c r="T28" i="5"/>
  <c r="T24" i="5"/>
  <c r="T20" i="5"/>
  <c r="T16" i="5"/>
  <c r="T12" i="5"/>
  <c r="T8" i="5"/>
  <c r="T4" i="5"/>
  <c r="T1" i="5"/>
  <c r="T255" i="5"/>
  <c r="T250" i="5"/>
  <c r="T245" i="5"/>
  <c r="T239" i="5"/>
  <c r="T234" i="5"/>
  <c r="T229" i="5"/>
  <c r="T223" i="5"/>
  <c r="T218" i="5"/>
  <c r="T213" i="5"/>
  <c r="T207" i="5"/>
  <c r="T202" i="5"/>
  <c r="T197" i="5"/>
  <c r="T191" i="5"/>
  <c r="T186" i="5"/>
  <c r="T181" i="5"/>
  <c r="T175" i="5"/>
  <c r="T170" i="5"/>
  <c r="T165" i="5"/>
  <c r="T159" i="5"/>
  <c r="T154" i="5"/>
  <c r="T149" i="5"/>
  <c r="T143" i="5"/>
  <c r="T138" i="5"/>
  <c r="T133" i="5"/>
  <c r="T127" i="5"/>
  <c r="T122" i="5"/>
  <c r="T117" i="5"/>
  <c r="T111" i="5"/>
  <c r="T106" i="5"/>
  <c r="T101" i="5"/>
  <c r="T95" i="5"/>
  <c r="T90" i="5"/>
  <c r="T85" i="5"/>
  <c r="T79" i="5"/>
  <c r="T74" i="5"/>
  <c r="T69" i="5"/>
  <c r="T63" i="5"/>
  <c r="T58" i="5"/>
  <c r="T53" i="5"/>
  <c r="T47" i="5"/>
  <c r="T42" i="5"/>
  <c r="T37" i="5"/>
  <c r="T31" i="5"/>
  <c r="T26" i="5"/>
  <c r="T21" i="5"/>
  <c r="T15" i="5"/>
  <c r="T10" i="5"/>
  <c r="T5" i="5"/>
  <c r="T253" i="5"/>
  <c r="T247" i="5"/>
  <c r="T242" i="5"/>
  <c r="T237" i="5"/>
  <c r="T231" i="5"/>
  <c r="T226" i="5"/>
  <c r="T221" i="5"/>
  <c r="T215" i="5"/>
  <c r="T210" i="5"/>
  <c r="T205" i="5"/>
  <c r="T199" i="5"/>
  <c r="T194" i="5"/>
  <c r="T189" i="5"/>
  <c r="T183" i="5"/>
  <c r="T178" i="5"/>
  <c r="T173" i="5"/>
  <c r="T167" i="5"/>
  <c r="T162" i="5"/>
  <c r="T157" i="5"/>
  <c r="T151" i="5"/>
  <c r="T146" i="5"/>
  <c r="T141" i="5"/>
  <c r="T135" i="5"/>
  <c r="T130" i="5"/>
  <c r="T125" i="5"/>
  <c r="T119" i="5"/>
  <c r="T114" i="5"/>
  <c r="T109" i="5"/>
  <c r="T103" i="5"/>
  <c r="T98" i="5"/>
  <c r="T93" i="5"/>
  <c r="T87" i="5"/>
  <c r="T82" i="5"/>
  <c r="T77" i="5"/>
  <c r="T71" i="5"/>
  <c r="T66" i="5"/>
  <c r="T61" i="5"/>
  <c r="T55" i="5"/>
  <c r="T50" i="5"/>
  <c r="T45" i="5"/>
  <c r="T39" i="5"/>
  <c r="T34" i="5"/>
  <c r="T29" i="5"/>
  <c r="T23" i="5"/>
  <c r="T18" i="5"/>
  <c r="T13" i="5"/>
  <c r="T7" i="5"/>
  <c r="T2" i="5"/>
  <c r="T254" i="5"/>
  <c r="T243" i="5"/>
  <c r="T233" i="5"/>
  <c r="T222" i="5"/>
  <c r="T211" i="5"/>
  <c r="T201" i="5"/>
  <c r="T190" i="5"/>
  <c r="T179" i="5"/>
  <c r="T169" i="5"/>
  <c r="T158" i="5"/>
  <c r="T147" i="5"/>
  <c r="T137" i="5"/>
  <c r="T126" i="5"/>
  <c r="T115" i="5"/>
  <c r="T105" i="5"/>
  <c r="T94" i="5"/>
  <c r="T83" i="5"/>
  <c r="T73" i="5"/>
  <c r="T62" i="5"/>
  <c r="T51" i="5"/>
  <c r="T41" i="5"/>
  <c r="T30" i="5"/>
  <c r="T19" i="5"/>
  <c r="T9" i="5"/>
  <c r="T251" i="5"/>
  <c r="T241" i="5"/>
  <c r="T230" i="5"/>
  <c r="T219" i="5"/>
  <c r="T209" i="5"/>
  <c r="T198" i="5"/>
  <c r="T187" i="5"/>
  <c r="T177" i="5"/>
  <c r="T166" i="5"/>
  <c r="T155" i="5"/>
  <c r="T145" i="5"/>
  <c r="T134" i="5"/>
  <c r="T123" i="5"/>
  <c r="T113" i="5"/>
  <c r="T102" i="5"/>
  <c r="T91" i="5"/>
  <c r="T81" i="5"/>
  <c r="T70" i="5"/>
  <c r="T59" i="5"/>
  <c r="T49" i="5"/>
  <c r="T38" i="5"/>
  <c r="T27" i="5"/>
  <c r="T17" i="5"/>
  <c r="T6" i="5"/>
  <c r="T249" i="5"/>
  <c r="T238" i="5"/>
  <c r="T227" i="5"/>
  <c r="T217" i="5"/>
  <c r="T206" i="5"/>
  <c r="T195" i="5"/>
  <c r="T185" i="5"/>
  <c r="T174" i="5"/>
  <c r="T163" i="5"/>
  <c r="T153" i="5"/>
  <c r="T142" i="5"/>
  <c r="T131" i="5"/>
  <c r="T121" i="5"/>
  <c r="T110" i="5"/>
  <c r="T99" i="5"/>
  <c r="T89" i="5"/>
  <c r="T78" i="5"/>
  <c r="T67" i="5"/>
  <c r="T57" i="5"/>
  <c r="T46" i="5"/>
  <c r="T35" i="5"/>
  <c r="T25" i="5"/>
  <c r="T14" i="5"/>
  <c r="T3" i="5"/>
  <c r="T246" i="5"/>
  <c r="T203" i="5"/>
  <c r="T161" i="5"/>
  <c r="T118" i="5"/>
  <c r="T75" i="5"/>
  <c r="T33" i="5"/>
  <c r="T235" i="5"/>
  <c r="T193" i="5"/>
  <c r="T150" i="5"/>
  <c r="T107" i="5"/>
  <c r="T65" i="5"/>
  <c r="T22" i="5"/>
  <c r="T225" i="5"/>
  <c r="T182" i="5"/>
  <c r="T139" i="5"/>
  <c r="T97" i="5"/>
  <c r="T54" i="5"/>
  <c r="T11" i="5"/>
  <c r="T171" i="5"/>
  <c r="B256" i="5"/>
  <c r="B252" i="5"/>
  <c r="B248" i="5"/>
  <c r="B244" i="5"/>
  <c r="B240" i="5"/>
  <c r="B236" i="5"/>
  <c r="B232" i="5"/>
  <c r="B228" i="5"/>
  <c r="B224" i="5"/>
  <c r="B220" i="5"/>
  <c r="B216" i="5"/>
  <c r="B212" i="5"/>
  <c r="B208" i="5"/>
  <c r="B204" i="5"/>
  <c r="B200" i="5"/>
  <c r="B196" i="5"/>
  <c r="B192" i="5"/>
  <c r="B188" i="5"/>
  <c r="B184" i="5"/>
  <c r="B180" i="5"/>
  <c r="B176" i="5"/>
  <c r="B172" i="5"/>
  <c r="B168" i="5"/>
  <c r="B164" i="5"/>
  <c r="B160" i="5"/>
  <c r="B156" i="5"/>
  <c r="B152" i="5"/>
  <c r="B148" i="5"/>
  <c r="B144" i="5"/>
  <c r="B140" i="5"/>
  <c r="B136" i="5"/>
  <c r="B132" i="5"/>
  <c r="B128" i="5"/>
  <c r="B124" i="5"/>
  <c r="B120" i="5"/>
  <c r="B116" i="5"/>
  <c r="B112" i="5"/>
  <c r="B108" i="5"/>
  <c r="B104" i="5"/>
  <c r="B100" i="5"/>
  <c r="B96" i="5"/>
  <c r="B92" i="5"/>
  <c r="B88" i="5"/>
  <c r="B84" i="5"/>
  <c r="B80" i="5"/>
  <c r="B76" i="5"/>
  <c r="B72" i="5"/>
  <c r="B68" i="5"/>
  <c r="B64" i="5"/>
  <c r="B60" i="5"/>
  <c r="B56" i="5"/>
  <c r="B52" i="5"/>
  <c r="B48" i="5"/>
  <c r="B44" i="5"/>
  <c r="B40" i="5"/>
  <c r="B36" i="5"/>
  <c r="B32" i="5"/>
  <c r="B28" i="5"/>
  <c r="B24" i="5"/>
  <c r="B20" i="5"/>
  <c r="B16" i="5"/>
  <c r="B12" i="5"/>
  <c r="B8" i="5"/>
  <c r="B4" i="5"/>
  <c r="B1" i="5"/>
  <c r="B6" i="5"/>
  <c r="B11" i="5"/>
  <c r="B17" i="5"/>
  <c r="B22" i="5"/>
  <c r="B27" i="5"/>
  <c r="B33" i="5"/>
  <c r="B38" i="5"/>
  <c r="B43" i="5"/>
  <c r="B49" i="5"/>
  <c r="B54" i="5"/>
  <c r="B59" i="5"/>
  <c r="B65" i="5"/>
  <c r="B70" i="5"/>
  <c r="B75" i="5"/>
  <c r="B81" i="5"/>
  <c r="B86" i="5"/>
  <c r="B91" i="5"/>
  <c r="B97" i="5"/>
  <c r="B102" i="5"/>
  <c r="B107" i="5"/>
  <c r="B113" i="5"/>
  <c r="B118" i="5"/>
  <c r="B123" i="5"/>
  <c r="B129" i="5"/>
  <c r="B134" i="5"/>
  <c r="B139" i="5"/>
  <c r="B145" i="5"/>
  <c r="B150" i="5"/>
  <c r="B155" i="5"/>
  <c r="B161" i="5"/>
  <c r="B166" i="5"/>
  <c r="B171" i="5"/>
  <c r="B177" i="5"/>
  <c r="B182" i="5"/>
  <c r="B187" i="5"/>
  <c r="B193" i="5"/>
  <c r="B198" i="5"/>
  <c r="B203" i="5"/>
  <c r="B209" i="5"/>
  <c r="B214" i="5"/>
  <c r="B219" i="5"/>
  <c r="B225" i="5"/>
  <c r="B230" i="5"/>
  <c r="B235" i="5"/>
  <c r="B241" i="5"/>
  <c r="B246" i="5"/>
  <c r="B251" i="5"/>
  <c r="T43" i="5"/>
  <c r="T214" i="5"/>
  <c r="S1" i="5" l="1" a="1"/>
  <c r="O1" i="5" a="1"/>
  <c r="P1" i="5" a="1"/>
  <c r="M1" i="5" a="1"/>
  <c r="R1" i="5" a="1"/>
  <c r="Q1" i="5" a="1"/>
  <c r="L1000" i="6"/>
  <c r="L996" i="6"/>
  <c r="L992" i="6"/>
  <c r="L988" i="6"/>
  <c r="L984" i="6"/>
  <c r="L980" i="6"/>
  <c r="L976" i="6"/>
  <c r="L972" i="6"/>
  <c r="L968" i="6"/>
  <c r="L964" i="6"/>
  <c r="L960" i="6"/>
  <c r="L956" i="6"/>
  <c r="L952" i="6"/>
  <c r="L948" i="6"/>
  <c r="L944" i="6"/>
  <c r="L940" i="6"/>
  <c r="L936" i="6"/>
  <c r="L932" i="6"/>
  <c r="L928" i="6"/>
  <c r="L924" i="6"/>
  <c r="L920" i="6"/>
  <c r="L916" i="6"/>
  <c r="L912" i="6"/>
  <c r="L908" i="6"/>
  <c r="L904" i="6"/>
  <c r="L900" i="6"/>
  <c r="L896" i="6"/>
  <c r="L892" i="6"/>
  <c r="L888" i="6"/>
  <c r="L884" i="6"/>
  <c r="L880" i="6"/>
  <c r="L876" i="6"/>
  <c r="L872" i="6"/>
  <c r="L868" i="6"/>
  <c r="L864" i="6"/>
  <c r="L860" i="6"/>
  <c r="L856" i="6"/>
  <c r="L852" i="6"/>
  <c r="L848" i="6"/>
  <c r="L844" i="6"/>
  <c r="L840" i="6"/>
  <c r="L836" i="6"/>
  <c r="L832" i="6"/>
  <c r="L828" i="6"/>
  <c r="L824" i="6"/>
  <c r="L820" i="6"/>
  <c r="L816" i="6"/>
  <c r="L812" i="6"/>
  <c r="L808" i="6"/>
  <c r="L804" i="6"/>
  <c r="L800" i="6"/>
  <c r="L796" i="6"/>
  <c r="L792" i="6"/>
  <c r="L788" i="6"/>
  <c r="L784" i="6"/>
  <c r="L780" i="6"/>
  <c r="L776" i="6"/>
  <c r="L772" i="6"/>
  <c r="L768" i="6"/>
  <c r="L764" i="6"/>
  <c r="L760" i="6"/>
  <c r="L756" i="6"/>
  <c r="L752" i="6"/>
  <c r="L748" i="6"/>
  <c r="L744" i="6"/>
  <c r="L740" i="6"/>
  <c r="L736" i="6"/>
  <c r="L732" i="6"/>
  <c r="L728" i="6"/>
  <c r="L724" i="6"/>
  <c r="L720" i="6"/>
  <c r="L716" i="6"/>
  <c r="L712" i="6"/>
  <c r="L708" i="6"/>
  <c r="L704" i="6"/>
  <c r="L700" i="6"/>
  <c r="L696" i="6"/>
  <c r="L692" i="6"/>
  <c r="L688" i="6"/>
  <c r="L684" i="6"/>
  <c r="L680" i="6"/>
  <c r="L676" i="6"/>
  <c r="L672" i="6"/>
  <c r="L668" i="6"/>
  <c r="L664" i="6"/>
  <c r="L999" i="6"/>
  <c r="L994" i="6"/>
  <c r="L998" i="6"/>
  <c r="L993" i="6"/>
  <c r="L987" i="6"/>
  <c r="L982" i="6"/>
  <c r="L977" i="6"/>
  <c r="L971" i="6"/>
  <c r="L966" i="6"/>
  <c r="L961" i="6"/>
  <c r="L955" i="6"/>
  <c r="L950" i="6"/>
  <c r="L945" i="6"/>
  <c r="L939" i="6"/>
  <c r="L934" i="6"/>
  <c r="L929" i="6"/>
  <c r="L923" i="6"/>
  <c r="L918" i="6"/>
  <c r="L913" i="6"/>
  <c r="L907" i="6"/>
  <c r="L902" i="6"/>
  <c r="L897" i="6"/>
  <c r="L891" i="6"/>
  <c r="L886" i="6"/>
  <c r="L881" i="6"/>
  <c r="L875" i="6"/>
  <c r="L870" i="6"/>
  <c r="L865" i="6"/>
  <c r="L859" i="6"/>
  <c r="L854" i="6"/>
  <c r="L849" i="6"/>
  <c r="L843" i="6"/>
  <c r="L838" i="6"/>
  <c r="L833" i="6"/>
  <c r="L827" i="6"/>
  <c r="L822" i="6"/>
  <c r="L817" i="6"/>
  <c r="L811" i="6"/>
  <c r="L806" i="6"/>
  <c r="L801" i="6"/>
  <c r="L795" i="6"/>
  <c r="L790" i="6"/>
  <c r="L785" i="6"/>
  <c r="L779" i="6"/>
  <c r="L774" i="6"/>
  <c r="L769" i="6"/>
  <c r="L763" i="6"/>
  <c r="L758" i="6"/>
  <c r="L753" i="6"/>
  <c r="L747" i="6"/>
  <c r="L742" i="6"/>
  <c r="L737" i="6"/>
  <c r="L731" i="6"/>
  <c r="L726" i="6"/>
  <c r="L721" i="6"/>
  <c r="L715" i="6"/>
  <c r="L710" i="6"/>
  <c r="L705" i="6"/>
  <c r="L699" i="6"/>
  <c r="L694" i="6"/>
  <c r="L689" i="6"/>
  <c r="L683" i="6"/>
  <c r="L678" i="6"/>
  <c r="L673" i="6"/>
  <c r="L667" i="6"/>
  <c r="L662" i="6"/>
  <c r="L658" i="6"/>
  <c r="L654" i="6"/>
  <c r="L650" i="6"/>
  <c r="L646" i="6"/>
  <c r="L642" i="6"/>
  <c r="L638" i="6"/>
  <c r="L634" i="6"/>
  <c r="L630" i="6"/>
  <c r="L626" i="6"/>
  <c r="L622" i="6"/>
  <c r="L618" i="6"/>
  <c r="L614" i="6"/>
  <c r="L610" i="6"/>
  <c r="L606" i="6"/>
  <c r="L602" i="6"/>
  <c r="L598" i="6"/>
  <c r="L594" i="6"/>
  <c r="L590" i="6"/>
  <c r="L586" i="6"/>
  <c r="L582" i="6"/>
  <c r="L578" i="6"/>
  <c r="L574" i="6"/>
  <c r="L570" i="6"/>
  <c r="L566" i="6"/>
  <c r="L562" i="6"/>
  <c r="L558" i="6"/>
  <c r="L554" i="6"/>
  <c r="L550" i="6"/>
  <c r="L546" i="6"/>
  <c r="L542" i="6"/>
  <c r="L538" i="6"/>
  <c r="L534" i="6"/>
  <c r="L530" i="6"/>
  <c r="L526" i="6"/>
  <c r="L522" i="6"/>
  <c r="L518" i="6"/>
  <c r="L514" i="6"/>
  <c r="L510" i="6"/>
  <c r="L506" i="6"/>
  <c r="L502" i="6"/>
  <c r="L498" i="6"/>
  <c r="L494" i="6"/>
  <c r="L490" i="6"/>
  <c r="L486" i="6"/>
  <c r="L482" i="6"/>
  <c r="L478" i="6"/>
  <c r="L474" i="6"/>
  <c r="L470" i="6"/>
  <c r="L466" i="6"/>
  <c r="L462" i="6"/>
  <c r="L458" i="6"/>
  <c r="L454" i="6"/>
  <c r="L450" i="6"/>
  <c r="L446" i="6"/>
  <c r="L442" i="6"/>
  <c r="L438" i="6"/>
  <c r="L434" i="6"/>
  <c r="L430" i="6"/>
  <c r="L426" i="6"/>
  <c r="L422" i="6"/>
  <c r="L418" i="6"/>
  <c r="L414" i="6"/>
  <c r="L410" i="6"/>
  <c r="L406" i="6"/>
  <c r="L402" i="6"/>
  <c r="L398" i="6"/>
  <c r="L394" i="6"/>
  <c r="L390" i="6"/>
  <c r="L386" i="6"/>
  <c r="L382" i="6"/>
  <c r="L378" i="6"/>
  <c r="L374" i="6"/>
  <c r="L370" i="6"/>
  <c r="L366" i="6"/>
  <c r="L362" i="6"/>
  <c r="L358" i="6"/>
  <c r="L354" i="6"/>
  <c r="L350" i="6"/>
  <c r="L346" i="6"/>
  <c r="L342" i="6"/>
  <c r="L338" i="6"/>
  <c r="L334" i="6"/>
  <c r="L330" i="6"/>
  <c r="L326" i="6"/>
  <c r="L322" i="6"/>
  <c r="L318" i="6"/>
  <c r="L314" i="6"/>
  <c r="L310" i="6"/>
  <c r="L306" i="6"/>
  <c r="L302" i="6"/>
  <c r="L298" i="6"/>
  <c r="L294" i="6"/>
  <c r="L290" i="6"/>
  <c r="L286" i="6"/>
  <c r="L282" i="6"/>
  <c r="L278" i="6"/>
  <c r="L274" i="6"/>
  <c r="L270" i="6"/>
  <c r="L266" i="6"/>
  <c r="L262" i="6"/>
  <c r="L258" i="6"/>
  <c r="L254" i="6"/>
  <c r="L250" i="6"/>
  <c r="L246" i="6"/>
  <c r="L242" i="6"/>
  <c r="L238" i="6"/>
  <c r="L997" i="6"/>
  <c r="L989" i="6"/>
  <c r="L981" i="6"/>
  <c r="L974" i="6"/>
  <c r="L967" i="6"/>
  <c r="L959" i="6"/>
  <c r="L953" i="6"/>
  <c r="L946" i="6"/>
  <c r="L938" i="6"/>
  <c r="L931" i="6"/>
  <c r="L925" i="6"/>
  <c r="L917" i="6"/>
  <c r="L910" i="6"/>
  <c r="L903" i="6"/>
  <c r="L895" i="6"/>
  <c r="L889" i="6"/>
  <c r="L882" i="6"/>
  <c r="L874" i="6"/>
  <c r="L867" i="6"/>
  <c r="L861" i="6"/>
  <c r="L853" i="6"/>
  <c r="L846" i="6"/>
  <c r="L839" i="6"/>
  <c r="L831" i="6"/>
  <c r="L825" i="6"/>
  <c r="L818" i="6"/>
  <c r="L810" i="6"/>
  <c r="L803" i="6"/>
  <c r="L797" i="6"/>
  <c r="L789" i="6"/>
  <c r="L782" i="6"/>
  <c r="L775" i="6"/>
  <c r="L767" i="6"/>
  <c r="L761" i="6"/>
  <c r="L754" i="6"/>
  <c r="L746" i="6"/>
  <c r="L739" i="6"/>
  <c r="L733" i="6"/>
  <c r="L725" i="6"/>
  <c r="L718" i="6"/>
  <c r="L711" i="6"/>
  <c r="L703" i="6"/>
  <c r="L697" i="6"/>
  <c r="L690" i="6"/>
  <c r="L682" i="6"/>
  <c r="L675" i="6"/>
  <c r="L669" i="6"/>
  <c r="L661" i="6"/>
  <c r="L656" i="6"/>
  <c r="L651" i="6"/>
  <c r="L645" i="6"/>
  <c r="L640" i="6"/>
  <c r="L635" i="6"/>
  <c r="L629" i="6"/>
  <c r="L624" i="6"/>
  <c r="L619" i="6"/>
  <c r="L613" i="6"/>
  <c r="L608" i="6"/>
  <c r="L603" i="6"/>
  <c r="L597" i="6"/>
  <c r="L592" i="6"/>
  <c r="L587" i="6"/>
  <c r="L581" i="6"/>
  <c r="L576" i="6"/>
  <c r="L571" i="6"/>
  <c r="L565" i="6"/>
  <c r="L560" i="6"/>
  <c r="L555" i="6"/>
  <c r="L549" i="6"/>
  <c r="L544" i="6"/>
  <c r="L539" i="6"/>
  <c r="L533" i="6"/>
  <c r="L528" i="6"/>
  <c r="L523" i="6"/>
  <c r="L517" i="6"/>
  <c r="L512" i="6"/>
  <c r="L507" i="6"/>
  <c r="L501" i="6"/>
  <c r="L496" i="6"/>
  <c r="L491" i="6"/>
  <c r="L485" i="6"/>
  <c r="L480" i="6"/>
  <c r="L475" i="6"/>
  <c r="L469" i="6"/>
  <c r="L464" i="6"/>
  <c r="L995" i="6"/>
  <c r="L986" i="6"/>
  <c r="L979" i="6"/>
  <c r="L973" i="6"/>
  <c r="L965" i="6"/>
  <c r="L958" i="6"/>
  <c r="L951" i="6"/>
  <c r="L943" i="6"/>
  <c r="L937" i="6"/>
  <c r="L930" i="6"/>
  <c r="L922" i="6"/>
  <c r="L915" i="6"/>
  <c r="L909" i="6"/>
  <c r="L901" i="6"/>
  <c r="L894" i="6"/>
  <c r="L887" i="6"/>
  <c r="L879" i="6"/>
  <c r="L873" i="6"/>
  <c r="L866" i="6"/>
  <c r="L858" i="6"/>
  <c r="L851" i="6"/>
  <c r="L845" i="6"/>
  <c r="L837" i="6"/>
  <c r="L830" i="6"/>
  <c r="L823" i="6"/>
  <c r="L815" i="6"/>
  <c r="L809" i="6"/>
  <c r="L802" i="6"/>
  <c r="L794" i="6"/>
  <c r="L787" i="6"/>
  <c r="L781" i="6"/>
  <c r="L773" i="6"/>
  <c r="L766" i="6"/>
  <c r="L759" i="6"/>
  <c r="L751" i="6"/>
  <c r="L745" i="6"/>
  <c r="L738" i="6"/>
  <c r="L730" i="6"/>
  <c r="L723" i="6"/>
  <c r="L717" i="6"/>
  <c r="L709" i="6"/>
  <c r="L702" i="6"/>
  <c r="L695" i="6"/>
  <c r="L687" i="6"/>
  <c r="L681" i="6"/>
  <c r="L674" i="6"/>
  <c r="L666" i="6"/>
  <c r="L660" i="6"/>
  <c r="L655" i="6"/>
  <c r="L649" i="6"/>
  <c r="L644" i="6"/>
  <c r="L639" i="6"/>
  <c r="L633" i="6"/>
  <c r="L991" i="6"/>
  <c r="L985" i="6"/>
  <c r="L978" i="6"/>
  <c r="L970" i="6"/>
  <c r="L963" i="6"/>
  <c r="L957" i="6"/>
  <c r="L949" i="6"/>
  <c r="L942" i="6"/>
  <c r="L935" i="6"/>
  <c r="L927" i="6"/>
  <c r="L921" i="6"/>
  <c r="L914" i="6"/>
  <c r="L906" i="6"/>
  <c r="L899" i="6"/>
  <c r="L893" i="6"/>
  <c r="L885" i="6"/>
  <c r="L878" i="6"/>
  <c r="L871" i="6"/>
  <c r="L863" i="6"/>
  <c r="L857" i="6"/>
  <c r="L850" i="6"/>
  <c r="L842" i="6"/>
  <c r="L835" i="6"/>
  <c r="L829" i="6"/>
  <c r="L821" i="6"/>
  <c r="L814" i="6"/>
  <c r="L807" i="6"/>
  <c r="L799" i="6"/>
  <c r="L793" i="6"/>
  <c r="L786" i="6"/>
  <c r="L778" i="6"/>
  <c r="L771" i="6"/>
  <c r="L765" i="6"/>
  <c r="L757" i="6"/>
  <c r="L750" i="6"/>
  <c r="L743" i="6"/>
  <c r="L735" i="6"/>
  <c r="L729" i="6"/>
  <c r="L722" i="6"/>
  <c r="L714" i="6"/>
  <c r="L707" i="6"/>
  <c r="L701" i="6"/>
  <c r="L693" i="6"/>
  <c r="L686" i="6"/>
  <c r="L679" i="6"/>
  <c r="L671" i="6"/>
  <c r="L665" i="6"/>
  <c r="L659" i="6"/>
  <c r="L653" i="6"/>
  <c r="L648" i="6"/>
  <c r="L643" i="6"/>
  <c r="L637" i="6"/>
  <c r="L632" i="6"/>
  <c r="L627" i="6"/>
  <c r="L621" i="6"/>
  <c r="L616" i="6"/>
  <c r="L611" i="6"/>
  <c r="L605" i="6"/>
  <c r="L600" i="6"/>
  <c r="L595" i="6"/>
  <c r="L589" i="6"/>
  <c r="L584" i="6"/>
  <c r="L579" i="6"/>
  <c r="L573" i="6"/>
  <c r="L568" i="6"/>
  <c r="L563" i="6"/>
  <c r="L557" i="6"/>
  <c r="L552" i="6"/>
  <c r="L547" i="6"/>
  <c r="L541" i="6"/>
  <c r="L536" i="6"/>
  <c r="L531" i="6"/>
  <c r="L525" i="6"/>
  <c r="L520" i="6"/>
  <c r="L515" i="6"/>
  <c r="L509" i="6"/>
  <c r="L504" i="6"/>
  <c r="L499" i="6"/>
  <c r="L493" i="6"/>
  <c r="L488" i="6"/>
  <c r="L483" i="6"/>
  <c r="L477" i="6"/>
  <c r="L472" i="6"/>
  <c r="L467" i="6"/>
  <c r="L461" i="6"/>
  <c r="L456" i="6"/>
  <c r="L451" i="6"/>
  <c r="L445" i="6"/>
  <c r="L440" i="6"/>
  <c r="L435" i="6"/>
  <c r="L429" i="6"/>
  <c r="L424" i="6"/>
  <c r="L419" i="6"/>
  <c r="L413" i="6"/>
  <c r="L408" i="6"/>
  <c r="L403" i="6"/>
  <c r="L397" i="6"/>
  <c r="L392" i="6"/>
  <c r="L387" i="6"/>
  <c r="L381" i="6"/>
  <c r="L376" i="6"/>
  <c r="L371" i="6"/>
  <c r="L365" i="6"/>
  <c r="L360" i="6"/>
  <c r="L355" i="6"/>
  <c r="L349" i="6"/>
  <c r="L344" i="6"/>
  <c r="L339" i="6"/>
  <c r="L333" i="6"/>
  <c r="L328" i="6"/>
  <c r="L323" i="6"/>
  <c r="L317" i="6"/>
  <c r="L312" i="6"/>
  <c r="L307" i="6"/>
  <c r="L301" i="6"/>
  <c r="L296" i="6"/>
  <c r="L291" i="6"/>
  <c r="L285" i="6"/>
  <c r="L280" i="6"/>
  <c r="L275" i="6"/>
  <c r="L269" i="6"/>
  <c r="L264" i="6"/>
  <c r="L259" i="6"/>
  <c r="L253" i="6"/>
  <c r="L248" i="6"/>
  <c r="L243" i="6"/>
  <c r="L237" i="6"/>
  <c r="L233" i="6"/>
  <c r="L229" i="6"/>
  <c r="L225" i="6"/>
  <c r="L221" i="6"/>
  <c r="L217" i="6"/>
  <c r="L213" i="6"/>
  <c r="L209" i="6"/>
  <c r="L205" i="6"/>
  <c r="L201" i="6"/>
  <c r="L197" i="6"/>
  <c r="L193" i="6"/>
  <c r="L189" i="6"/>
  <c r="L185" i="6"/>
  <c r="L181" i="6"/>
  <c r="L177" i="6"/>
  <c r="L173" i="6"/>
  <c r="L169" i="6"/>
  <c r="L165" i="6"/>
  <c r="L990" i="6"/>
  <c r="L962" i="6"/>
  <c r="L933" i="6"/>
  <c r="L905" i="6"/>
  <c r="L877" i="6"/>
  <c r="L847" i="6"/>
  <c r="L819" i="6"/>
  <c r="L791" i="6"/>
  <c r="L762" i="6"/>
  <c r="L734" i="6"/>
  <c r="L706" i="6"/>
  <c r="L677" i="6"/>
  <c r="L652" i="6"/>
  <c r="L631" i="6"/>
  <c r="L620" i="6"/>
  <c r="L609" i="6"/>
  <c r="L599" i="6"/>
  <c r="L588" i="6"/>
  <c r="L577" i="6"/>
  <c r="L567" i="6"/>
  <c r="L556" i="6"/>
  <c r="L545" i="6"/>
  <c r="L535" i="6"/>
  <c r="L524" i="6"/>
  <c r="L513" i="6"/>
  <c r="L503" i="6"/>
  <c r="L492" i="6"/>
  <c r="L481" i="6"/>
  <c r="L471" i="6"/>
  <c r="L460" i="6"/>
  <c r="L453" i="6"/>
  <c r="L447" i="6"/>
  <c r="L439" i="6"/>
  <c r="L432" i="6"/>
  <c r="L425" i="6"/>
  <c r="L417" i="6"/>
  <c r="L411" i="6"/>
  <c r="L404" i="6"/>
  <c r="L396" i="6"/>
  <c r="L389" i="6"/>
  <c r="L383" i="6"/>
  <c r="L375" i="6"/>
  <c r="L368" i="6"/>
  <c r="L361" i="6"/>
  <c r="L353" i="6"/>
  <c r="L347" i="6"/>
  <c r="L340" i="6"/>
  <c r="L332" i="6"/>
  <c r="L325" i="6"/>
  <c r="L319" i="6"/>
  <c r="L311" i="6"/>
  <c r="L304" i="6"/>
  <c r="L297" i="6"/>
  <c r="L289" i="6"/>
  <c r="L283" i="6"/>
  <c r="L276" i="6"/>
  <c r="L268" i="6"/>
  <c r="L261" i="6"/>
  <c r="L255" i="6"/>
  <c r="L247" i="6"/>
  <c r="L240" i="6"/>
  <c r="L234" i="6"/>
  <c r="L228" i="6"/>
  <c r="L223" i="6"/>
  <c r="L218" i="6"/>
  <c r="L212" i="6"/>
  <c r="L207" i="6"/>
  <c r="L202" i="6"/>
  <c r="L196" i="6"/>
  <c r="L191" i="6"/>
  <c r="L186" i="6"/>
  <c r="L180" i="6"/>
  <c r="L175" i="6"/>
  <c r="L170" i="6"/>
  <c r="L164" i="6"/>
  <c r="L160" i="6"/>
  <c r="L156" i="6"/>
  <c r="L152" i="6"/>
  <c r="L148" i="6"/>
  <c r="L144" i="6"/>
  <c r="L140" i="6"/>
  <c r="L136" i="6"/>
  <c r="L132" i="6"/>
  <c r="L128" i="6"/>
  <c r="L124" i="6"/>
  <c r="L120" i="6"/>
  <c r="L983" i="6"/>
  <c r="L954" i="6"/>
  <c r="L926" i="6"/>
  <c r="L898" i="6"/>
  <c r="L869" i="6"/>
  <c r="L841" i="6"/>
  <c r="L813" i="6"/>
  <c r="L783" i="6"/>
  <c r="L755" i="6"/>
  <c r="L727" i="6"/>
  <c r="L698" i="6"/>
  <c r="L670" i="6"/>
  <c r="L647" i="6"/>
  <c r="L628" i="6"/>
  <c r="L617" i="6"/>
  <c r="L607" i="6"/>
  <c r="L596" i="6"/>
  <c r="L585" i="6"/>
  <c r="L575" i="6"/>
  <c r="L564" i="6"/>
  <c r="L553" i="6"/>
  <c r="L543" i="6"/>
  <c r="L532" i="6"/>
  <c r="L521" i="6"/>
  <c r="L511" i="6"/>
  <c r="L500" i="6"/>
  <c r="L489" i="6"/>
  <c r="L479" i="6"/>
  <c r="L468" i="6"/>
  <c r="L459" i="6"/>
  <c r="L452" i="6"/>
  <c r="L444" i="6"/>
  <c r="L437" i="6"/>
  <c r="L431" i="6"/>
  <c r="L423" i="6"/>
  <c r="L416" i="6"/>
  <c r="L409" i="6"/>
  <c r="L401" i="6"/>
  <c r="L395" i="6"/>
  <c r="L388" i="6"/>
  <c r="L380" i="6"/>
  <c r="L373" i="6"/>
  <c r="L367" i="6"/>
  <c r="L359" i="6"/>
  <c r="L352" i="6"/>
  <c r="L345" i="6"/>
  <c r="L337" i="6"/>
  <c r="L331" i="6"/>
  <c r="L324" i="6"/>
  <c r="L316" i="6"/>
  <c r="L309" i="6"/>
  <c r="L303" i="6"/>
  <c r="L295" i="6"/>
  <c r="L288" i="6"/>
  <c r="L281" i="6"/>
  <c r="L273" i="6"/>
  <c r="L267" i="6"/>
  <c r="L260" i="6"/>
  <c r="L252" i="6"/>
  <c r="L245" i="6"/>
  <c r="L239" i="6"/>
  <c r="L232" i="6"/>
  <c r="L227" i="6"/>
  <c r="L222" i="6"/>
  <c r="L216" i="6"/>
  <c r="L211" i="6"/>
  <c r="L206" i="6"/>
  <c r="L200" i="6"/>
  <c r="L195" i="6"/>
  <c r="L190" i="6"/>
  <c r="L184" i="6"/>
  <c r="L179" i="6"/>
  <c r="L174" i="6"/>
  <c r="L168" i="6"/>
  <c r="L163" i="6"/>
  <c r="L159" i="6"/>
  <c r="L155" i="6"/>
  <c r="L151" i="6"/>
  <c r="L147" i="6"/>
  <c r="L143" i="6"/>
  <c r="L139" i="6"/>
  <c r="L135" i="6"/>
  <c r="L131" i="6"/>
  <c r="L127" i="6"/>
  <c r="L123" i="6"/>
  <c r="L975" i="6"/>
  <c r="L947" i="6"/>
  <c r="L919" i="6"/>
  <c r="L890" i="6"/>
  <c r="L862" i="6"/>
  <c r="L834" i="6"/>
  <c r="L805" i="6"/>
  <c r="L777" i="6"/>
  <c r="L749" i="6"/>
  <c r="L719" i="6"/>
  <c r="L691" i="6"/>
  <c r="L663" i="6"/>
  <c r="L641" i="6"/>
  <c r="L625" i="6"/>
  <c r="L615" i="6"/>
  <c r="L604" i="6"/>
  <c r="L593" i="6"/>
  <c r="L583" i="6"/>
  <c r="L572" i="6"/>
  <c r="L561" i="6"/>
  <c r="L551" i="6"/>
  <c r="L540" i="6"/>
  <c r="L529" i="6"/>
  <c r="L519" i="6"/>
  <c r="L508" i="6"/>
  <c r="L497" i="6"/>
  <c r="L487" i="6"/>
  <c r="L476" i="6"/>
  <c r="L465" i="6"/>
  <c r="L457" i="6"/>
  <c r="L449" i="6"/>
  <c r="L443" i="6"/>
  <c r="L436" i="6"/>
  <c r="L428" i="6"/>
  <c r="L421" i="6"/>
  <c r="L415" i="6"/>
  <c r="L407" i="6"/>
  <c r="L400" i="6"/>
  <c r="L393" i="6"/>
  <c r="L385" i="6"/>
  <c r="L379" i="6"/>
  <c r="L372" i="6"/>
  <c r="L364" i="6"/>
  <c r="L357" i="6"/>
  <c r="L351" i="6"/>
  <c r="L343" i="6"/>
  <c r="L336" i="6"/>
  <c r="L329" i="6"/>
  <c r="L321" i="6"/>
  <c r="L315" i="6"/>
  <c r="L308" i="6"/>
  <c r="L300" i="6"/>
  <c r="L293" i="6"/>
  <c r="L287" i="6"/>
  <c r="L279" i="6"/>
  <c r="L272" i="6"/>
  <c r="L265" i="6"/>
  <c r="L257" i="6"/>
  <c r="L251" i="6"/>
  <c r="L244" i="6"/>
  <c r="L236" i="6"/>
  <c r="L231" i="6"/>
  <c r="L226" i="6"/>
  <c r="L220" i="6"/>
  <c r="L215" i="6"/>
  <c r="L210" i="6"/>
  <c r="L204" i="6"/>
  <c r="L199" i="6"/>
  <c r="L194" i="6"/>
  <c r="L188" i="6"/>
  <c r="L183" i="6"/>
  <c r="L178" i="6"/>
  <c r="L172" i="6"/>
  <c r="L167" i="6"/>
  <c r="L162" i="6"/>
  <c r="L158" i="6"/>
  <c r="L154" i="6"/>
  <c r="L150" i="6"/>
  <c r="L146" i="6"/>
  <c r="L142" i="6"/>
  <c r="L138" i="6"/>
  <c r="L134" i="6"/>
  <c r="L130" i="6"/>
  <c r="L126" i="6"/>
  <c r="L122" i="6"/>
  <c r="L118" i="6"/>
  <c r="L114" i="6"/>
  <c r="L110" i="6"/>
  <c r="L106" i="6"/>
  <c r="L102" i="6"/>
  <c r="L98" i="6"/>
  <c r="L94" i="6"/>
  <c r="L90" i="6"/>
  <c r="L86" i="6"/>
  <c r="L82" i="6"/>
  <c r="L78" i="6"/>
  <c r="L74" i="6"/>
  <c r="L70" i="6"/>
  <c r="L66" i="6"/>
  <c r="L62" i="6"/>
  <c r="L58" i="6"/>
  <c r="L54" i="6"/>
  <c r="L50" i="6"/>
  <c r="L46" i="6"/>
  <c r="L42" i="6"/>
  <c r="L38" i="6"/>
  <c r="L34" i="6"/>
  <c r="L30" i="6"/>
  <c r="L26" i="6"/>
  <c r="L22" i="6"/>
  <c r="L18" i="6"/>
  <c r="L14" i="6"/>
  <c r="L10" i="6"/>
  <c r="L6" i="6"/>
  <c r="L2" i="6"/>
  <c r="L969" i="6"/>
  <c r="L855" i="6"/>
  <c r="L741" i="6"/>
  <c r="L636" i="6"/>
  <c r="L591" i="6"/>
  <c r="L548" i="6"/>
  <c r="L505" i="6"/>
  <c r="L463" i="6"/>
  <c r="L433" i="6"/>
  <c r="L405" i="6"/>
  <c r="L377" i="6"/>
  <c r="L348" i="6"/>
  <c r="L320" i="6"/>
  <c r="L292" i="6"/>
  <c r="L263" i="6"/>
  <c r="L235" i="6"/>
  <c r="L214" i="6"/>
  <c r="L192" i="6"/>
  <c r="L171" i="6"/>
  <c r="L153" i="6"/>
  <c r="L137" i="6"/>
  <c r="L121" i="6"/>
  <c r="L115" i="6"/>
  <c r="L109" i="6"/>
  <c r="L104" i="6"/>
  <c r="L99" i="6"/>
  <c r="L93" i="6"/>
  <c r="L88" i="6"/>
  <c r="L83" i="6"/>
  <c r="L77" i="6"/>
  <c r="L72" i="6"/>
  <c r="L67" i="6"/>
  <c r="L61" i="6"/>
  <c r="L56" i="6"/>
  <c r="L51" i="6"/>
  <c r="L45" i="6"/>
  <c r="L40" i="6"/>
  <c r="L35" i="6"/>
  <c r="L29" i="6"/>
  <c r="L24" i="6"/>
  <c r="L19" i="6"/>
  <c r="L13" i="6"/>
  <c r="L8" i="6"/>
  <c r="L3" i="6"/>
  <c r="L941" i="6"/>
  <c r="L826" i="6"/>
  <c r="L713" i="6"/>
  <c r="L623" i="6"/>
  <c r="L580" i="6"/>
  <c r="L537" i="6"/>
  <c r="L495" i="6"/>
  <c r="L455" i="6"/>
  <c r="L427" i="6"/>
  <c r="L399" i="6"/>
  <c r="L369" i="6"/>
  <c r="L341" i="6"/>
  <c r="L313" i="6"/>
  <c r="L284" i="6"/>
  <c r="L256" i="6"/>
  <c r="L230" i="6"/>
  <c r="L208" i="6"/>
  <c r="L187" i="6"/>
  <c r="L166" i="6"/>
  <c r="L149" i="6"/>
  <c r="L133" i="6"/>
  <c r="L119" i="6"/>
  <c r="L113" i="6"/>
  <c r="L108" i="6"/>
  <c r="L103" i="6"/>
  <c r="L97" i="6"/>
  <c r="L92" i="6"/>
  <c r="L87" i="6"/>
  <c r="L81" i="6"/>
  <c r="L76" i="6"/>
  <c r="L71" i="6"/>
  <c r="L65" i="6"/>
  <c r="L60" i="6"/>
  <c r="L55" i="6"/>
  <c r="L49" i="6"/>
  <c r="L44" i="6"/>
  <c r="L39" i="6"/>
  <c r="L33" i="6"/>
  <c r="L28" i="6"/>
  <c r="L23" i="6"/>
  <c r="L17" i="6"/>
  <c r="L12" i="6"/>
  <c r="L7" i="6"/>
  <c r="L911" i="6"/>
  <c r="L798" i="6"/>
  <c r="L685" i="6"/>
  <c r="L612" i="6"/>
  <c r="L569" i="6"/>
  <c r="L527" i="6"/>
  <c r="L484" i="6"/>
  <c r="L448" i="6"/>
  <c r="L420" i="6"/>
  <c r="L391" i="6"/>
  <c r="L363" i="6"/>
  <c r="L335" i="6"/>
  <c r="L305" i="6"/>
  <c r="L277" i="6"/>
  <c r="L249" i="6"/>
  <c r="L224" i="6"/>
  <c r="L203" i="6"/>
  <c r="L182" i="6"/>
  <c r="L161" i="6"/>
  <c r="L145" i="6"/>
  <c r="L129" i="6"/>
  <c r="L117" i="6"/>
  <c r="L112" i="6"/>
  <c r="L107" i="6"/>
  <c r="L101" i="6"/>
  <c r="L96" i="6"/>
  <c r="L91" i="6"/>
  <c r="L85" i="6"/>
  <c r="L80" i="6"/>
  <c r="L75" i="6"/>
  <c r="L69" i="6"/>
  <c r="L64" i="6"/>
  <c r="L59" i="6"/>
  <c r="L53" i="6"/>
  <c r="L48" i="6"/>
  <c r="L43" i="6"/>
  <c r="L37" i="6"/>
  <c r="L32" i="6"/>
  <c r="L27" i="6"/>
  <c r="L21" i="6"/>
  <c r="L16" i="6"/>
  <c r="L11" i="6"/>
  <c r="L5" i="6"/>
  <c r="L1" i="6"/>
  <c r="L883" i="6"/>
  <c r="L770" i="6"/>
  <c r="L657" i="6"/>
  <c r="L601" i="6"/>
  <c r="L559" i="6"/>
  <c r="L516" i="6"/>
  <c r="L473" i="6"/>
  <c r="L441" i="6"/>
  <c r="L412" i="6"/>
  <c r="L384" i="6"/>
  <c r="L356" i="6"/>
  <c r="L327" i="6"/>
  <c r="L299" i="6"/>
  <c r="L271" i="6"/>
  <c r="L241" i="6"/>
  <c r="L219" i="6"/>
  <c r="L198" i="6"/>
  <c r="L176" i="6"/>
  <c r="L157" i="6"/>
  <c r="L141" i="6"/>
  <c r="L125" i="6"/>
  <c r="L116" i="6"/>
  <c r="L111" i="6"/>
  <c r="L105" i="6"/>
  <c r="L100" i="6"/>
  <c r="L95" i="6"/>
  <c r="L89" i="6"/>
  <c r="L84" i="6"/>
  <c r="L79" i="6"/>
  <c r="L73" i="6"/>
  <c r="L68" i="6"/>
  <c r="L63" i="6"/>
  <c r="L57" i="6"/>
  <c r="L52" i="6"/>
  <c r="L47" i="6"/>
  <c r="L41" i="6"/>
  <c r="L36" i="6"/>
  <c r="L31" i="6"/>
  <c r="L25" i="6"/>
  <c r="L20" i="6"/>
  <c r="L15" i="6"/>
  <c r="L9" i="6"/>
  <c r="L4" i="6"/>
  <c r="R253" i="5" l="1"/>
  <c r="R249" i="5"/>
  <c r="R245" i="5"/>
  <c r="R241" i="5"/>
  <c r="R237" i="5"/>
  <c r="R233" i="5"/>
  <c r="R229" i="5"/>
  <c r="R225" i="5"/>
  <c r="R221" i="5"/>
  <c r="R217" i="5"/>
  <c r="R213" i="5"/>
  <c r="R209" i="5"/>
  <c r="R205" i="5"/>
  <c r="R201" i="5"/>
  <c r="R197" i="5"/>
  <c r="R193" i="5"/>
  <c r="R189" i="5"/>
  <c r="R185" i="5"/>
  <c r="R181" i="5"/>
  <c r="R177" i="5"/>
  <c r="R173" i="5"/>
  <c r="R169" i="5"/>
  <c r="R165" i="5"/>
  <c r="R161" i="5"/>
  <c r="R157" i="5"/>
  <c r="R153" i="5"/>
  <c r="R149" i="5"/>
  <c r="R145" i="5"/>
  <c r="R141" i="5"/>
  <c r="R255" i="5"/>
  <c r="R251" i="5"/>
  <c r="R247" i="5"/>
  <c r="R243" i="5"/>
  <c r="R239" i="5"/>
  <c r="R235" i="5"/>
  <c r="R231" i="5"/>
  <c r="R227" i="5"/>
  <c r="R223" i="5"/>
  <c r="R219" i="5"/>
  <c r="R215" i="5"/>
  <c r="R211" i="5"/>
  <c r="R207" i="5"/>
  <c r="R203" i="5"/>
  <c r="R199" i="5"/>
  <c r="R195" i="5"/>
  <c r="R191" i="5"/>
  <c r="R187" i="5"/>
  <c r="R183" i="5"/>
  <c r="R179" i="5"/>
  <c r="R175" i="5"/>
  <c r="R171" i="5"/>
  <c r="R167" i="5"/>
  <c r="R256" i="5"/>
  <c r="R248" i="5"/>
  <c r="R240" i="5"/>
  <c r="R232" i="5"/>
  <c r="R224" i="5"/>
  <c r="R216" i="5"/>
  <c r="R208" i="5"/>
  <c r="R200" i="5"/>
  <c r="R192" i="5"/>
  <c r="R184" i="5"/>
  <c r="R176" i="5"/>
  <c r="R168" i="5"/>
  <c r="R162" i="5"/>
  <c r="R156" i="5"/>
  <c r="R151" i="5"/>
  <c r="R146" i="5"/>
  <c r="R140" i="5"/>
  <c r="R136" i="5"/>
  <c r="R132" i="5"/>
  <c r="R128" i="5"/>
  <c r="R124" i="5"/>
  <c r="R120" i="5"/>
  <c r="R116" i="5"/>
  <c r="R112" i="5"/>
  <c r="R108" i="5"/>
  <c r="R104" i="5"/>
  <c r="R100" i="5"/>
  <c r="R96" i="5"/>
  <c r="R92" i="5"/>
  <c r="R88" i="5"/>
  <c r="R84" i="5"/>
  <c r="R80" i="5"/>
  <c r="R76" i="5"/>
  <c r="R72" i="5"/>
  <c r="R68" i="5"/>
  <c r="R64" i="5"/>
  <c r="R60" i="5"/>
  <c r="R56" i="5"/>
  <c r="R52" i="5"/>
  <c r="R48" i="5"/>
  <c r="R44" i="5"/>
  <c r="R40" i="5"/>
  <c r="R36" i="5"/>
  <c r="R32" i="5"/>
  <c r="R28" i="5"/>
  <c r="R24" i="5"/>
  <c r="R20" i="5"/>
  <c r="R16" i="5"/>
  <c r="R12" i="5"/>
  <c r="R8" i="5"/>
  <c r="R4" i="5"/>
  <c r="R1" i="5"/>
  <c r="R254" i="5"/>
  <c r="R246" i="5"/>
  <c r="R238" i="5"/>
  <c r="R230" i="5"/>
  <c r="R222" i="5"/>
  <c r="R214" i="5"/>
  <c r="R206" i="5"/>
  <c r="R198" i="5"/>
  <c r="R190" i="5"/>
  <c r="R182" i="5"/>
  <c r="R174" i="5"/>
  <c r="R166" i="5"/>
  <c r="R160" i="5"/>
  <c r="R155" i="5"/>
  <c r="R150" i="5"/>
  <c r="R144" i="5"/>
  <c r="R139" i="5"/>
  <c r="R135" i="5"/>
  <c r="R131" i="5"/>
  <c r="R127" i="5"/>
  <c r="R123" i="5"/>
  <c r="R119" i="5"/>
  <c r="R115" i="5"/>
  <c r="R111" i="5"/>
  <c r="R107" i="5"/>
  <c r="R103" i="5"/>
  <c r="R99" i="5"/>
  <c r="R95" i="5"/>
  <c r="R91" i="5"/>
  <c r="R87" i="5"/>
  <c r="R83" i="5"/>
  <c r="R79" i="5"/>
  <c r="R75" i="5"/>
  <c r="R71" i="5"/>
  <c r="R67" i="5"/>
  <c r="R63" i="5"/>
  <c r="R59" i="5"/>
  <c r="R55" i="5"/>
  <c r="R51" i="5"/>
  <c r="R47" i="5"/>
  <c r="R43" i="5"/>
  <c r="R39" i="5"/>
  <c r="R35" i="5"/>
  <c r="R31" i="5"/>
  <c r="R27" i="5"/>
  <c r="R23" i="5"/>
  <c r="R19" i="5"/>
  <c r="R15" i="5"/>
  <c r="R11" i="5"/>
  <c r="R7" i="5"/>
  <c r="R3" i="5"/>
  <c r="R252" i="5"/>
  <c r="R244" i="5"/>
  <c r="R236" i="5"/>
  <c r="R228" i="5"/>
  <c r="R220" i="5"/>
  <c r="R212" i="5"/>
  <c r="R204" i="5"/>
  <c r="R196" i="5"/>
  <c r="R188" i="5"/>
  <c r="R180" i="5"/>
  <c r="R172" i="5"/>
  <c r="R164" i="5"/>
  <c r="R159" i="5"/>
  <c r="R154" i="5"/>
  <c r="R148" i="5"/>
  <c r="R143" i="5"/>
  <c r="R138" i="5"/>
  <c r="R134" i="5"/>
  <c r="R130" i="5"/>
  <c r="R126" i="5"/>
  <c r="R122" i="5"/>
  <c r="R118" i="5"/>
  <c r="R114" i="5"/>
  <c r="R110" i="5"/>
  <c r="R106" i="5"/>
  <c r="R102" i="5"/>
  <c r="R98" i="5"/>
  <c r="R94" i="5"/>
  <c r="R90" i="5"/>
  <c r="R86" i="5"/>
  <c r="R82" i="5"/>
  <c r="R78" i="5"/>
  <c r="R74" i="5"/>
  <c r="R70" i="5"/>
  <c r="R66" i="5"/>
  <c r="R62" i="5"/>
  <c r="R58" i="5"/>
  <c r="R54" i="5"/>
  <c r="R50" i="5"/>
  <c r="R46" i="5"/>
  <c r="R42" i="5"/>
  <c r="R38" i="5"/>
  <c r="R34" i="5"/>
  <c r="R30" i="5"/>
  <c r="R26" i="5"/>
  <c r="R22" i="5"/>
  <c r="R18" i="5"/>
  <c r="R14" i="5"/>
  <c r="R10" i="5"/>
  <c r="R6" i="5"/>
  <c r="R2" i="5"/>
  <c r="R250" i="5"/>
  <c r="R218" i="5"/>
  <c r="R186" i="5"/>
  <c r="R158" i="5"/>
  <c r="R137" i="5"/>
  <c r="R121" i="5"/>
  <c r="R105" i="5"/>
  <c r="R89" i="5"/>
  <c r="R73" i="5"/>
  <c r="R57" i="5"/>
  <c r="R41" i="5"/>
  <c r="R25" i="5"/>
  <c r="R9" i="5"/>
  <c r="R242" i="5"/>
  <c r="R210" i="5"/>
  <c r="R178" i="5"/>
  <c r="R152" i="5"/>
  <c r="R133" i="5"/>
  <c r="R117" i="5"/>
  <c r="R101" i="5"/>
  <c r="R85" i="5"/>
  <c r="R69" i="5"/>
  <c r="R53" i="5"/>
  <c r="R37" i="5"/>
  <c r="R21" i="5"/>
  <c r="R5" i="5"/>
  <c r="R234" i="5"/>
  <c r="R202" i="5"/>
  <c r="R170" i="5"/>
  <c r="R147" i="5"/>
  <c r="R129" i="5"/>
  <c r="R113" i="5"/>
  <c r="R97" i="5"/>
  <c r="R81" i="5"/>
  <c r="R65" i="5"/>
  <c r="R49" i="5"/>
  <c r="R33" i="5"/>
  <c r="R17" i="5"/>
  <c r="R226" i="5"/>
  <c r="R125" i="5"/>
  <c r="R61" i="5"/>
  <c r="R163" i="5"/>
  <c r="R93" i="5"/>
  <c r="R29" i="5"/>
  <c r="R142" i="5"/>
  <c r="R77" i="5"/>
  <c r="R13" i="5"/>
  <c r="R45" i="5"/>
  <c r="R194" i="5"/>
  <c r="R109" i="5"/>
  <c r="M254" i="5"/>
  <c r="M250" i="5"/>
  <c r="M246" i="5"/>
  <c r="M242" i="5"/>
  <c r="M238" i="5"/>
  <c r="M234" i="5"/>
  <c r="M230" i="5"/>
  <c r="M226" i="5"/>
  <c r="M222" i="5"/>
  <c r="M218" i="5"/>
  <c r="M214" i="5"/>
  <c r="M210" i="5"/>
  <c r="M206" i="5"/>
  <c r="M202" i="5"/>
  <c r="M198" i="5"/>
  <c r="M194" i="5"/>
  <c r="M190" i="5"/>
  <c r="M186" i="5"/>
  <c r="M182" i="5"/>
  <c r="M178" i="5"/>
  <c r="M174" i="5"/>
  <c r="M170" i="5"/>
  <c r="M166" i="5"/>
  <c r="M162" i="5"/>
  <c r="M158" i="5"/>
  <c r="M154" i="5"/>
  <c r="M150" i="5"/>
  <c r="M146" i="5"/>
  <c r="M142" i="5"/>
  <c r="M138" i="5"/>
  <c r="M134" i="5"/>
  <c r="M130" i="5"/>
  <c r="M126" i="5"/>
  <c r="M122" i="5"/>
  <c r="M118" i="5"/>
  <c r="M114" i="5"/>
  <c r="M110" i="5"/>
  <c r="M106" i="5"/>
  <c r="M102" i="5"/>
  <c r="M98" i="5"/>
  <c r="M94" i="5"/>
  <c r="M90" i="5"/>
  <c r="M86" i="5"/>
  <c r="M82" i="5"/>
  <c r="M78" i="5"/>
  <c r="M74" i="5"/>
  <c r="M70" i="5"/>
  <c r="M66" i="5"/>
  <c r="M62" i="5"/>
  <c r="M58" i="5"/>
  <c r="M54" i="5"/>
  <c r="M50" i="5"/>
  <c r="M46" i="5"/>
  <c r="M42" i="5"/>
  <c r="M38" i="5"/>
  <c r="M34" i="5"/>
  <c r="M30" i="5"/>
  <c r="M26" i="5"/>
  <c r="M22" i="5"/>
  <c r="M18" i="5"/>
  <c r="M14" i="5"/>
  <c r="M10" i="5"/>
  <c r="M6" i="5"/>
  <c r="M2" i="5"/>
  <c r="M253" i="5"/>
  <c r="M249" i="5"/>
  <c r="M245" i="5"/>
  <c r="M241" i="5"/>
  <c r="M237" i="5"/>
  <c r="M233" i="5"/>
  <c r="M229" i="5"/>
  <c r="M225" i="5"/>
  <c r="M221" i="5"/>
  <c r="M217" i="5"/>
  <c r="M213" i="5"/>
  <c r="M209" i="5"/>
  <c r="M205" i="5"/>
  <c r="M201" i="5"/>
  <c r="M197" i="5"/>
  <c r="M193" i="5"/>
  <c r="M189" i="5"/>
  <c r="M185" i="5"/>
  <c r="M181" i="5"/>
  <c r="M177" i="5"/>
  <c r="M173" i="5"/>
  <c r="M169" i="5"/>
  <c r="M165" i="5"/>
  <c r="M161" i="5"/>
  <c r="M157" i="5"/>
  <c r="M153" i="5"/>
  <c r="M149" i="5"/>
  <c r="M145" i="5"/>
  <c r="M141" i="5"/>
  <c r="M137" i="5"/>
  <c r="M133" i="5"/>
  <c r="M129" i="5"/>
  <c r="M125" i="5"/>
  <c r="M121" i="5"/>
  <c r="M117" i="5"/>
  <c r="M113" i="5"/>
  <c r="M109" i="5"/>
  <c r="M105" i="5"/>
  <c r="M101" i="5"/>
  <c r="M97" i="5"/>
  <c r="M93" i="5"/>
  <c r="M89" i="5"/>
  <c r="M85" i="5"/>
  <c r="M81" i="5"/>
  <c r="M77" i="5"/>
  <c r="M73" i="5"/>
  <c r="M69" i="5"/>
  <c r="M65" i="5"/>
  <c r="M61" i="5"/>
  <c r="M57" i="5"/>
  <c r="M53" i="5"/>
  <c r="M49" i="5"/>
  <c r="M45" i="5"/>
  <c r="M41" i="5"/>
  <c r="M37" i="5"/>
  <c r="M33" i="5"/>
  <c r="M29" i="5"/>
  <c r="M25" i="5"/>
  <c r="M21" i="5"/>
  <c r="M17" i="5"/>
  <c r="M13" i="5"/>
  <c r="M9" i="5"/>
  <c r="M5" i="5"/>
  <c r="M256" i="5"/>
  <c r="M248" i="5"/>
  <c r="M240" i="5"/>
  <c r="M232" i="5"/>
  <c r="M224" i="5"/>
  <c r="M216" i="5"/>
  <c r="M208" i="5"/>
  <c r="M200" i="5"/>
  <c r="M192" i="5"/>
  <c r="M184" i="5"/>
  <c r="M176" i="5"/>
  <c r="M168" i="5"/>
  <c r="M160" i="5"/>
  <c r="M152" i="5"/>
  <c r="M144" i="5"/>
  <c r="M136" i="5"/>
  <c r="M128" i="5"/>
  <c r="M120" i="5"/>
  <c r="M112" i="5"/>
  <c r="M104" i="5"/>
  <c r="M96" i="5"/>
  <c r="M88" i="5"/>
  <c r="M80" i="5"/>
  <c r="M72" i="5"/>
  <c r="M64" i="5"/>
  <c r="M56" i="5"/>
  <c r="M48" i="5"/>
  <c r="M40" i="5"/>
  <c r="M32" i="5"/>
  <c r="M24" i="5"/>
  <c r="M16" i="5"/>
  <c r="M8" i="5"/>
  <c r="M1" i="5"/>
  <c r="M252" i="5"/>
  <c r="M244" i="5"/>
  <c r="M236" i="5"/>
  <c r="M228" i="5"/>
  <c r="M220" i="5"/>
  <c r="M212" i="5"/>
  <c r="M204" i="5"/>
  <c r="M196" i="5"/>
  <c r="M188" i="5"/>
  <c r="M180" i="5"/>
  <c r="M172" i="5"/>
  <c r="M164" i="5"/>
  <c r="M156" i="5"/>
  <c r="M148" i="5"/>
  <c r="M140" i="5"/>
  <c r="M132" i="5"/>
  <c r="M124" i="5"/>
  <c r="M116" i="5"/>
  <c r="M108" i="5"/>
  <c r="M100" i="5"/>
  <c r="M92" i="5"/>
  <c r="M84" i="5"/>
  <c r="M76" i="5"/>
  <c r="M68" i="5"/>
  <c r="M60" i="5"/>
  <c r="M52" i="5"/>
  <c r="M44" i="5"/>
  <c r="M36" i="5"/>
  <c r="M28" i="5"/>
  <c r="M20" i="5"/>
  <c r="M12" i="5"/>
  <c r="M4" i="5"/>
  <c r="M251" i="5"/>
  <c r="M243" i="5"/>
  <c r="M235" i="5"/>
  <c r="M227" i="5"/>
  <c r="M219" i="5"/>
  <c r="M211" i="5"/>
  <c r="M203" i="5"/>
  <c r="M195" i="5"/>
  <c r="M187" i="5"/>
  <c r="M179" i="5"/>
  <c r="M171" i="5"/>
  <c r="M163" i="5"/>
  <c r="M155" i="5"/>
  <c r="M147" i="5"/>
  <c r="M139" i="5"/>
  <c r="M131" i="5"/>
  <c r="M123" i="5"/>
  <c r="M115" i="5"/>
  <c r="M107" i="5"/>
  <c r="M99" i="5"/>
  <c r="M91" i="5"/>
  <c r="M83" i="5"/>
  <c r="M75" i="5"/>
  <c r="M67" i="5"/>
  <c r="M59" i="5"/>
  <c r="M51" i="5"/>
  <c r="M43" i="5"/>
  <c r="M35" i="5"/>
  <c r="M27" i="5"/>
  <c r="M19" i="5"/>
  <c r="M11" i="5"/>
  <c r="M3" i="5"/>
  <c r="M239" i="5"/>
  <c r="M207" i="5"/>
  <c r="M175" i="5"/>
  <c r="M143" i="5"/>
  <c r="M111" i="5"/>
  <c r="M79" i="5"/>
  <c r="M47" i="5"/>
  <c r="M15" i="5"/>
  <c r="M231" i="5"/>
  <c r="M199" i="5"/>
  <c r="M167" i="5"/>
  <c r="M135" i="5"/>
  <c r="M103" i="5"/>
  <c r="M71" i="5"/>
  <c r="M39" i="5"/>
  <c r="M7" i="5"/>
  <c r="M247" i="5"/>
  <c r="M215" i="5"/>
  <c r="M183" i="5"/>
  <c r="M151" i="5"/>
  <c r="M119" i="5"/>
  <c r="M87" i="5"/>
  <c r="M55" i="5"/>
  <c r="M23" i="5"/>
  <c r="M191" i="5"/>
  <c r="M63" i="5"/>
  <c r="M159" i="5"/>
  <c r="M31" i="5"/>
  <c r="M255" i="5"/>
  <c r="M127" i="5"/>
  <c r="M223" i="5"/>
  <c r="M95" i="5"/>
  <c r="P253" i="5"/>
  <c r="P249" i="5"/>
  <c r="P245" i="5"/>
  <c r="P241" i="5"/>
  <c r="P237" i="5"/>
  <c r="P233" i="5"/>
  <c r="P256" i="5"/>
  <c r="P252" i="5"/>
  <c r="P248" i="5"/>
  <c r="P244" i="5"/>
  <c r="P240" i="5"/>
  <c r="P236" i="5"/>
  <c r="P232" i="5"/>
  <c r="P228" i="5"/>
  <c r="P224" i="5"/>
  <c r="P220" i="5"/>
  <c r="P216" i="5"/>
  <c r="P212" i="5"/>
  <c r="P208" i="5"/>
  <c r="P204" i="5"/>
  <c r="P200" i="5"/>
  <c r="P196" i="5"/>
  <c r="P192" i="5"/>
  <c r="P188" i="5"/>
  <c r="P184" i="5"/>
  <c r="P180" i="5"/>
  <c r="P176" i="5"/>
  <c r="P172" i="5"/>
  <c r="P168" i="5"/>
  <c r="P164" i="5"/>
  <c r="P160" i="5"/>
  <c r="P156" i="5"/>
  <c r="P152" i="5"/>
  <c r="P148" i="5"/>
  <c r="P144" i="5"/>
  <c r="P140" i="5"/>
  <c r="P136" i="5"/>
  <c r="P132" i="5"/>
  <c r="P128" i="5"/>
  <c r="P124" i="5"/>
  <c r="P120" i="5"/>
  <c r="P116" i="5"/>
  <c r="P112" i="5"/>
  <c r="P108" i="5"/>
  <c r="P104" i="5"/>
  <c r="P100" i="5"/>
  <c r="P96" i="5"/>
  <c r="P92" i="5"/>
  <c r="P88" i="5"/>
  <c r="P84" i="5"/>
  <c r="P80" i="5"/>
  <c r="P76" i="5"/>
  <c r="P72" i="5"/>
  <c r="P68" i="5"/>
  <c r="P64" i="5"/>
  <c r="P60" i="5"/>
  <c r="P56" i="5"/>
  <c r="P52" i="5"/>
  <c r="P48" i="5"/>
  <c r="P44" i="5"/>
  <c r="P40" i="5"/>
  <c r="P36" i="5"/>
  <c r="P32" i="5"/>
  <c r="P28" i="5"/>
  <c r="P24" i="5"/>
  <c r="P20" i="5"/>
  <c r="P16" i="5"/>
  <c r="P12" i="5"/>
  <c r="P8" i="5"/>
  <c r="P4" i="5"/>
  <c r="P1" i="5"/>
  <c r="P254" i="5"/>
  <c r="P246" i="5"/>
  <c r="P238" i="5"/>
  <c r="P230" i="5"/>
  <c r="P225" i="5"/>
  <c r="P219" i="5"/>
  <c r="P214" i="5"/>
  <c r="P209" i="5"/>
  <c r="P203" i="5"/>
  <c r="P198" i="5"/>
  <c r="P193" i="5"/>
  <c r="P187" i="5"/>
  <c r="P182" i="5"/>
  <c r="P177" i="5"/>
  <c r="P171" i="5"/>
  <c r="P166" i="5"/>
  <c r="P161" i="5"/>
  <c r="P155" i="5"/>
  <c r="P150" i="5"/>
  <c r="P145" i="5"/>
  <c r="P139" i="5"/>
  <c r="P134" i="5"/>
  <c r="P129" i="5"/>
  <c r="P123" i="5"/>
  <c r="P118" i="5"/>
  <c r="P113" i="5"/>
  <c r="P107" i="5"/>
  <c r="P102" i="5"/>
  <c r="P97" i="5"/>
  <c r="P91" i="5"/>
  <c r="P86" i="5"/>
  <c r="P81" i="5"/>
  <c r="P75" i="5"/>
  <c r="P70" i="5"/>
  <c r="P65" i="5"/>
  <c r="P59" i="5"/>
  <c r="P54" i="5"/>
  <c r="P49" i="5"/>
  <c r="P43" i="5"/>
  <c r="P38" i="5"/>
  <c r="P33" i="5"/>
  <c r="P27" i="5"/>
  <c r="P22" i="5"/>
  <c r="P17" i="5"/>
  <c r="P11" i="5"/>
  <c r="P6" i="5"/>
  <c r="P251" i="5"/>
  <c r="P243" i="5"/>
  <c r="P235" i="5"/>
  <c r="P229" i="5"/>
  <c r="P223" i="5"/>
  <c r="P218" i="5"/>
  <c r="P213" i="5"/>
  <c r="P207" i="5"/>
  <c r="P202" i="5"/>
  <c r="P197" i="5"/>
  <c r="P191" i="5"/>
  <c r="P186" i="5"/>
  <c r="P181" i="5"/>
  <c r="P175" i="5"/>
  <c r="P170" i="5"/>
  <c r="P165" i="5"/>
  <c r="P159" i="5"/>
  <c r="P154" i="5"/>
  <c r="P149" i="5"/>
  <c r="P143" i="5"/>
  <c r="P138" i="5"/>
  <c r="P133" i="5"/>
  <c r="P127" i="5"/>
  <c r="P122" i="5"/>
  <c r="P117" i="5"/>
  <c r="P111" i="5"/>
  <c r="P106" i="5"/>
  <c r="P101" i="5"/>
  <c r="P95" i="5"/>
  <c r="P90" i="5"/>
  <c r="P85" i="5"/>
  <c r="P79" i="5"/>
  <c r="P74" i="5"/>
  <c r="P69" i="5"/>
  <c r="P63" i="5"/>
  <c r="P58" i="5"/>
  <c r="P53" i="5"/>
  <c r="P47" i="5"/>
  <c r="P42" i="5"/>
  <c r="P37" i="5"/>
  <c r="P31" i="5"/>
  <c r="P26" i="5"/>
  <c r="P21" i="5"/>
  <c r="P15" i="5"/>
  <c r="P10" i="5"/>
  <c r="P5" i="5"/>
  <c r="P250" i="5"/>
  <c r="P234" i="5"/>
  <c r="P222" i="5"/>
  <c r="P211" i="5"/>
  <c r="P201" i="5"/>
  <c r="P190" i="5"/>
  <c r="P179" i="5"/>
  <c r="P169" i="5"/>
  <c r="P158" i="5"/>
  <c r="P147" i="5"/>
  <c r="P137" i="5"/>
  <c r="P126" i="5"/>
  <c r="P115" i="5"/>
  <c r="P105" i="5"/>
  <c r="P94" i="5"/>
  <c r="P83" i="5"/>
  <c r="P73" i="5"/>
  <c r="P62" i="5"/>
  <c r="P51" i="5"/>
  <c r="P41" i="5"/>
  <c r="P30" i="5"/>
  <c r="P19" i="5"/>
  <c r="P9" i="5"/>
  <c r="P242" i="5"/>
  <c r="P227" i="5"/>
  <c r="P217" i="5"/>
  <c r="P206" i="5"/>
  <c r="P195" i="5"/>
  <c r="P185" i="5"/>
  <c r="P174" i="5"/>
  <c r="P163" i="5"/>
  <c r="P153" i="5"/>
  <c r="P142" i="5"/>
  <c r="P131" i="5"/>
  <c r="P121" i="5"/>
  <c r="P110" i="5"/>
  <c r="P99" i="5"/>
  <c r="P89" i="5"/>
  <c r="P78" i="5"/>
  <c r="P67" i="5"/>
  <c r="P57" i="5"/>
  <c r="P46" i="5"/>
  <c r="P35" i="5"/>
  <c r="P25" i="5"/>
  <c r="P14" i="5"/>
  <c r="P3" i="5"/>
  <c r="P255" i="5"/>
  <c r="P239" i="5"/>
  <c r="P226" i="5"/>
  <c r="P215" i="5"/>
  <c r="P205" i="5"/>
  <c r="P194" i="5"/>
  <c r="P183" i="5"/>
  <c r="P173" i="5"/>
  <c r="P162" i="5"/>
  <c r="P151" i="5"/>
  <c r="P141" i="5"/>
  <c r="P130" i="5"/>
  <c r="P119" i="5"/>
  <c r="P109" i="5"/>
  <c r="P98" i="5"/>
  <c r="P87" i="5"/>
  <c r="P77" i="5"/>
  <c r="P66" i="5"/>
  <c r="P55" i="5"/>
  <c r="P45" i="5"/>
  <c r="P34" i="5"/>
  <c r="P23" i="5"/>
  <c r="P13" i="5"/>
  <c r="P2" i="5"/>
  <c r="P231" i="5"/>
  <c r="P189" i="5"/>
  <c r="P146" i="5"/>
  <c r="P103" i="5"/>
  <c r="P61" i="5"/>
  <c r="P18" i="5"/>
  <c r="P221" i="5"/>
  <c r="P178" i="5"/>
  <c r="P135" i="5"/>
  <c r="P93" i="5"/>
  <c r="P50" i="5"/>
  <c r="P7" i="5"/>
  <c r="P247" i="5"/>
  <c r="P199" i="5"/>
  <c r="P157" i="5"/>
  <c r="P114" i="5"/>
  <c r="P71" i="5"/>
  <c r="P29" i="5"/>
  <c r="P167" i="5"/>
  <c r="P125" i="5"/>
  <c r="P82" i="5"/>
  <c r="P210" i="5"/>
  <c r="P39" i="5"/>
  <c r="Q253" i="5"/>
  <c r="Q249" i="5"/>
  <c r="Q245" i="5"/>
  <c r="Q241" i="5"/>
  <c r="Q237" i="5"/>
  <c r="Q233" i="5"/>
  <c r="Q229" i="5"/>
  <c r="Q225" i="5"/>
  <c r="Q221" i="5"/>
  <c r="Q217" i="5"/>
  <c r="Q213" i="5"/>
  <c r="Q209" i="5"/>
  <c r="Q205" i="5"/>
  <c r="Q201" i="5"/>
  <c r="Q197" i="5"/>
  <c r="Q193" i="5"/>
  <c r="Q189" i="5"/>
  <c r="Q185" i="5"/>
  <c r="Q181" i="5"/>
  <c r="Q177" i="5"/>
  <c r="Q173" i="5"/>
  <c r="Q169" i="5"/>
  <c r="Q165" i="5"/>
  <c r="Q161" i="5"/>
  <c r="Q157" i="5"/>
  <c r="Q153" i="5"/>
  <c r="Q149" i="5"/>
  <c r="Q145" i="5"/>
  <c r="Q141" i="5"/>
  <c r="Q137" i="5"/>
  <c r="Q133" i="5"/>
  <c r="Q129" i="5"/>
  <c r="Q125" i="5"/>
  <c r="Q121" i="5"/>
  <c r="Q117" i="5"/>
  <c r="Q113" i="5"/>
  <c r="Q256" i="5"/>
  <c r="Q252" i="5"/>
  <c r="Q248" i="5"/>
  <c r="Q244" i="5"/>
  <c r="Q240" i="5"/>
  <c r="Q236" i="5"/>
  <c r="Q232" i="5"/>
  <c r="Q228" i="5"/>
  <c r="Q224" i="5"/>
  <c r="Q220" i="5"/>
  <c r="Q216" i="5"/>
  <c r="Q212" i="5"/>
  <c r="Q208" i="5"/>
  <c r="Q204" i="5"/>
  <c r="Q200" i="5"/>
  <c r="Q196" i="5"/>
  <c r="Q192" i="5"/>
  <c r="Q188" i="5"/>
  <c r="Q184" i="5"/>
  <c r="Q180" i="5"/>
  <c r="Q176" i="5"/>
  <c r="Q172" i="5"/>
  <c r="Q168" i="5"/>
  <c r="Q164" i="5"/>
  <c r="Q160" i="5"/>
  <c r="Q156" i="5"/>
  <c r="Q152" i="5"/>
  <c r="Q148" i="5"/>
  <c r="Q144" i="5"/>
  <c r="Q140" i="5"/>
  <c r="Q136" i="5"/>
  <c r="Q132" i="5"/>
  <c r="Q128" i="5"/>
  <c r="Q124" i="5"/>
  <c r="Q120" i="5"/>
  <c r="Q116" i="5"/>
  <c r="Q112" i="5"/>
  <c r="Q108" i="5"/>
  <c r="Q104" i="5"/>
  <c r="Q100" i="5"/>
  <c r="Q96" i="5"/>
  <c r="Q92" i="5"/>
  <c r="Q88" i="5"/>
  <c r="Q84" i="5"/>
  <c r="Q80" i="5"/>
  <c r="Q76" i="5"/>
  <c r="Q72" i="5"/>
  <c r="Q68" i="5"/>
  <c r="Q64" i="5"/>
  <c r="Q60" i="5"/>
  <c r="Q56" i="5"/>
  <c r="Q52" i="5"/>
  <c r="Q48" i="5"/>
  <c r="Q44" i="5"/>
  <c r="Q40" i="5"/>
  <c r="Q36" i="5"/>
  <c r="Q32" i="5"/>
  <c r="Q28" i="5"/>
  <c r="Q24" i="5"/>
  <c r="Q20" i="5"/>
  <c r="Q16" i="5"/>
  <c r="Q12" i="5"/>
  <c r="Q8" i="5"/>
  <c r="Q4" i="5"/>
  <c r="Q1" i="5"/>
  <c r="Q255" i="5"/>
  <c r="Q251" i="5"/>
  <c r="Q247" i="5"/>
  <c r="Q243" i="5"/>
  <c r="Q239" i="5"/>
  <c r="Q235" i="5"/>
  <c r="Q231" i="5"/>
  <c r="Q227" i="5"/>
  <c r="Q223" i="5"/>
  <c r="Q219" i="5"/>
  <c r="Q215" i="5"/>
  <c r="Q211" i="5"/>
  <c r="Q207" i="5"/>
  <c r="Q203" i="5"/>
  <c r="Q199" i="5"/>
  <c r="Q195" i="5"/>
  <c r="Q191" i="5"/>
  <c r="Q187" i="5"/>
  <c r="Q183" i="5"/>
  <c r="Q179" i="5"/>
  <c r="Q175" i="5"/>
  <c r="Q171" i="5"/>
  <c r="Q167" i="5"/>
  <c r="Q163" i="5"/>
  <c r="Q159" i="5"/>
  <c r="Q155" i="5"/>
  <c r="Q151" i="5"/>
  <c r="Q147" i="5"/>
  <c r="Q143" i="5"/>
  <c r="Q139" i="5"/>
  <c r="Q135" i="5"/>
  <c r="Q131" i="5"/>
  <c r="Q127" i="5"/>
  <c r="Q123" i="5"/>
  <c r="Q119" i="5"/>
  <c r="Q115" i="5"/>
  <c r="Q111" i="5"/>
  <c r="Q107" i="5"/>
  <c r="Q103" i="5"/>
  <c r="Q99" i="5"/>
  <c r="Q95" i="5"/>
  <c r="Q91" i="5"/>
  <c r="Q87" i="5"/>
  <c r="Q83" i="5"/>
  <c r="Q79" i="5"/>
  <c r="Q75" i="5"/>
  <c r="Q71" i="5"/>
  <c r="Q67" i="5"/>
  <c r="Q63" i="5"/>
  <c r="Q59" i="5"/>
  <c r="Q55" i="5"/>
  <c r="Q51" i="5"/>
  <c r="Q47" i="5"/>
  <c r="Q43" i="5"/>
  <c r="Q39" i="5"/>
  <c r="Q35" i="5"/>
  <c r="Q31" i="5"/>
  <c r="Q27" i="5"/>
  <c r="Q23" i="5"/>
  <c r="Q19" i="5"/>
  <c r="Q15" i="5"/>
  <c r="Q11" i="5"/>
  <c r="Q7" i="5"/>
  <c r="Q3" i="5"/>
  <c r="Q250" i="5"/>
  <c r="Q234" i="5"/>
  <c r="Q218" i="5"/>
  <c r="Q202" i="5"/>
  <c r="Q186" i="5"/>
  <c r="Q170" i="5"/>
  <c r="Q154" i="5"/>
  <c r="Q138" i="5"/>
  <c r="Q122" i="5"/>
  <c r="Q109" i="5"/>
  <c r="Q101" i="5"/>
  <c r="Q93" i="5"/>
  <c r="Q85" i="5"/>
  <c r="Q77" i="5"/>
  <c r="Q69" i="5"/>
  <c r="Q61" i="5"/>
  <c r="Q53" i="5"/>
  <c r="Q45" i="5"/>
  <c r="Q37" i="5"/>
  <c r="Q29" i="5"/>
  <c r="Q21" i="5"/>
  <c r="Q13" i="5"/>
  <c r="Q5" i="5"/>
  <c r="Q246" i="5"/>
  <c r="Q230" i="5"/>
  <c r="Q214" i="5"/>
  <c r="Q198" i="5"/>
  <c r="Q182" i="5"/>
  <c r="Q166" i="5"/>
  <c r="Q150" i="5"/>
  <c r="Q134" i="5"/>
  <c r="Q118" i="5"/>
  <c r="Q106" i="5"/>
  <c r="Q98" i="5"/>
  <c r="Q90" i="5"/>
  <c r="Q82" i="5"/>
  <c r="Q74" i="5"/>
  <c r="Q66" i="5"/>
  <c r="Q58" i="5"/>
  <c r="Q50" i="5"/>
  <c r="Q42" i="5"/>
  <c r="Q34" i="5"/>
  <c r="Q26" i="5"/>
  <c r="Q18" i="5"/>
  <c r="Q10" i="5"/>
  <c r="Q2" i="5"/>
  <c r="Q242" i="5"/>
  <c r="Q226" i="5"/>
  <c r="Q210" i="5"/>
  <c r="Q194" i="5"/>
  <c r="Q178" i="5"/>
  <c r="Q162" i="5"/>
  <c r="Q146" i="5"/>
  <c r="Q130" i="5"/>
  <c r="Q114" i="5"/>
  <c r="Q105" i="5"/>
  <c r="Q97" i="5"/>
  <c r="Q89" i="5"/>
  <c r="Q81" i="5"/>
  <c r="Q73" i="5"/>
  <c r="Q65" i="5"/>
  <c r="Q57" i="5"/>
  <c r="Q49" i="5"/>
  <c r="Q41" i="5"/>
  <c r="Q33" i="5"/>
  <c r="Q25" i="5"/>
  <c r="Q17" i="5"/>
  <c r="Q9" i="5"/>
  <c r="Q254" i="5"/>
  <c r="Q190" i="5"/>
  <c r="Q126" i="5"/>
  <c r="Q86" i="5"/>
  <c r="Q54" i="5"/>
  <c r="Q22" i="5"/>
  <c r="Q222" i="5"/>
  <c r="Q158" i="5"/>
  <c r="Q102" i="5"/>
  <c r="Q70" i="5"/>
  <c r="Q38" i="5"/>
  <c r="Q6" i="5"/>
  <c r="Q206" i="5"/>
  <c r="Q142" i="5"/>
  <c r="Q94" i="5"/>
  <c r="Q62" i="5"/>
  <c r="Q30" i="5"/>
  <c r="Q78" i="5"/>
  <c r="Q238" i="5"/>
  <c r="Q46" i="5"/>
  <c r="Q110" i="5"/>
  <c r="Q174" i="5"/>
  <c r="Q14" i="5"/>
  <c r="O253" i="5"/>
  <c r="O249" i="5"/>
  <c r="O245" i="5"/>
  <c r="O241" i="5"/>
  <c r="O237" i="5"/>
  <c r="O233" i="5"/>
  <c r="O229" i="5"/>
  <c r="O225" i="5"/>
  <c r="O221" i="5"/>
  <c r="O217" i="5"/>
  <c r="O213" i="5"/>
  <c r="O209" i="5"/>
  <c r="O205" i="5"/>
  <c r="O201" i="5"/>
  <c r="O197" i="5"/>
  <c r="O193" i="5"/>
  <c r="O189" i="5"/>
  <c r="O185" i="5"/>
  <c r="O181" i="5"/>
  <c r="O177" i="5"/>
  <c r="O173" i="5"/>
  <c r="O169" i="5"/>
  <c r="O165" i="5"/>
  <c r="O161" i="5"/>
  <c r="O157" i="5"/>
  <c r="O153" i="5"/>
  <c r="O149" i="5"/>
  <c r="O145" i="5"/>
  <c r="O141" i="5"/>
  <c r="O137" i="5"/>
  <c r="O133" i="5"/>
  <c r="O129" i="5"/>
  <c r="O125" i="5"/>
  <c r="O121" i="5"/>
  <c r="O117" i="5"/>
  <c r="O113" i="5"/>
  <c r="O109" i="5"/>
  <c r="O105" i="5"/>
  <c r="O101" i="5"/>
  <c r="O97" i="5"/>
  <c r="O93" i="5"/>
  <c r="O89" i="5"/>
  <c r="O85" i="5"/>
  <c r="O81" i="5"/>
  <c r="O77" i="5"/>
  <c r="O73" i="5"/>
  <c r="O69" i="5"/>
  <c r="O65" i="5"/>
  <c r="O61" i="5"/>
  <c r="O57" i="5"/>
  <c r="O53" i="5"/>
  <c r="O49" i="5"/>
  <c r="O45" i="5"/>
  <c r="O41" i="5"/>
  <c r="O37" i="5"/>
  <c r="O33" i="5"/>
  <c r="O29" i="5"/>
  <c r="O25" i="5"/>
  <c r="O21" i="5"/>
  <c r="O17" i="5"/>
  <c r="O13" i="5"/>
  <c r="O9" i="5"/>
  <c r="O5" i="5"/>
  <c r="O252" i="5"/>
  <c r="O247" i="5"/>
  <c r="O242" i="5"/>
  <c r="O236" i="5"/>
  <c r="O231" i="5"/>
  <c r="O226" i="5"/>
  <c r="O220" i="5"/>
  <c r="O215" i="5"/>
  <c r="O210" i="5"/>
  <c r="O204" i="5"/>
  <c r="O199" i="5"/>
  <c r="O194" i="5"/>
  <c r="O188" i="5"/>
  <c r="O183" i="5"/>
  <c r="O178" i="5"/>
  <c r="O172" i="5"/>
  <c r="O167" i="5"/>
  <c r="O162" i="5"/>
  <c r="O156" i="5"/>
  <c r="O151" i="5"/>
  <c r="O146" i="5"/>
  <c r="O140" i="5"/>
  <c r="O135" i="5"/>
  <c r="O130" i="5"/>
  <c r="O124" i="5"/>
  <c r="O119" i="5"/>
  <c r="O114" i="5"/>
  <c r="O108" i="5"/>
  <c r="O103" i="5"/>
  <c r="O98" i="5"/>
  <c r="O92" i="5"/>
  <c r="O87" i="5"/>
  <c r="O82" i="5"/>
  <c r="O76" i="5"/>
  <c r="O71" i="5"/>
  <c r="O66" i="5"/>
  <c r="O60" i="5"/>
  <c r="O55" i="5"/>
  <c r="O50" i="5"/>
  <c r="O44" i="5"/>
  <c r="O39" i="5"/>
  <c r="O34" i="5"/>
  <c r="O28" i="5"/>
  <c r="O23" i="5"/>
  <c r="O18" i="5"/>
  <c r="O12" i="5"/>
  <c r="O7" i="5"/>
  <c r="O2" i="5"/>
  <c r="O256" i="5"/>
  <c r="O251" i="5"/>
  <c r="O246" i="5"/>
  <c r="O240" i="5"/>
  <c r="O235" i="5"/>
  <c r="O230" i="5"/>
  <c r="O224" i="5"/>
  <c r="O219" i="5"/>
  <c r="O214" i="5"/>
  <c r="O208" i="5"/>
  <c r="O203" i="5"/>
  <c r="O198" i="5"/>
  <c r="O192" i="5"/>
  <c r="O187" i="5"/>
  <c r="O182" i="5"/>
  <c r="O176" i="5"/>
  <c r="O171" i="5"/>
  <c r="O166" i="5"/>
  <c r="O160" i="5"/>
  <c r="O155" i="5"/>
  <c r="O150" i="5"/>
  <c r="O144" i="5"/>
  <c r="O139" i="5"/>
  <c r="O134" i="5"/>
  <c r="O128" i="5"/>
  <c r="O123" i="5"/>
  <c r="O118" i="5"/>
  <c r="O112" i="5"/>
  <c r="O107" i="5"/>
  <c r="O102" i="5"/>
  <c r="O96" i="5"/>
  <c r="O91" i="5"/>
  <c r="O86" i="5"/>
  <c r="O80" i="5"/>
  <c r="O75" i="5"/>
  <c r="O70" i="5"/>
  <c r="O64" i="5"/>
  <c r="O59" i="5"/>
  <c r="O54" i="5"/>
  <c r="O48" i="5"/>
  <c r="O43" i="5"/>
  <c r="O38" i="5"/>
  <c r="O32" i="5"/>
  <c r="O27" i="5"/>
  <c r="O22" i="5"/>
  <c r="O16" i="5"/>
  <c r="O11" i="5"/>
  <c r="O6" i="5"/>
  <c r="O1" i="5"/>
  <c r="O255" i="5"/>
  <c r="O244" i="5"/>
  <c r="O234" i="5"/>
  <c r="O223" i="5"/>
  <c r="O212" i="5"/>
  <c r="O202" i="5"/>
  <c r="O191" i="5"/>
  <c r="O180" i="5"/>
  <c r="O170" i="5"/>
  <c r="O159" i="5"/>
  <c r="O148" i="5"/>
  <c r="O138" i="5"/>
  <c r="O127" i="5"/>
  <c r="O116" i="5"/>
  <c r="O106" i="5"/>
  <c r="O95" i="5"/>
  <c r="O84" i="5"/>
  <c r="O74" i="5"/>
  <c r="O63" i="5"/>
  <c r="O52" i="5"/>
  <c r="O42" i="5"/>
  <c r="O31" i="5"/>
  <c r="O20" i="5"/>
  <c r="O10" i="5"/>
  <c r="O250" i="5"/>
  <c r="O239" i="5"/>
  <c r="O228" i="5"/>
  <c r="O218" i="5"/>
  <c r="O207" i="5"/>
  <c r="O196" i="5"/>
  <c r="O186" i="5"/>
  <c r="O175" i="5"/>
  <c r="O164" i="5"/>
  <c r="O154" i="5"/>
  <c r="O143" i="5"/>
  <c r="O132" i="5"/>
  <c r="O122" i="5"/>
  <c r="O111" i="5"/>
  <c r="O100" i="5"/>
  <c r="O90" i="5"/>
  <c r="O79" i="5"/>
  <c r="O68" i="5"/>
  <c r="O58" i="5"/>
  <c r="O47" i="5"/>
  <c r="O36" i="5"/>
  <c r="O26" i="5"/>
  <c r="O15" i="5"/>
  <c r="O4" i="5"/>
  <c r="O248" i="5"/>
  <c r="O238" i="5"/>
  <c r="O227" i="5"/>
  <c r="O216" i="5"/>
  <c r="O206" i="5"/>
  <c r="O195" i="5"/>
  <c r="O184" i="5"/>
  <c r="O174" i="5"/>
  <c r="O163" i="5"/>
  <c r="O152" i="5"/>
  <c r="O142" i="5"/>
  <c r="O131" i="5"/>
  <c r="O120" i="5"/>
  <c r="O110" i="5"/>
  <c r="O99" i="5"/>
  <c r="O88" i="5"/>
  <c r="O78" i="5"/>
  <c r="O67" i="5"/>
  <c r="O56" i="5"/>
  <c r="O46" i="5"/>
  <c r="O35" i="5"/>
  <c r="O24" i="5"/>
  <c r="O14" i="5"/>
  <c r="O3" i="5"/>
  <c r="O232" i="5"/>
  <c r="O190" i="5"/>
  <c r="O147" i="5"/>
  <c r="O104" i="5"/>
  <c r="O62" i="5"/>
  <c r="O19" i="5"/>
  <c r="O222" i="5"/>
  <c r="O179" i="5"/>
  <c r="O136" i="5"/>
  <c r="O94" i="5"/>
  <c r="O51" i="5"/>
  <c r="O8" i="5"/>
  <c r="O243" i="5"/>
  <c r="O200" i="5"/>
  <c r="O158" i="5"/>
  <c r="O115" i="5"/>
  <c r="O72" i="5"/>
  <c r="O30" i="5"/>
  <c r="O254" i="5"/>
  <c r="O83" i="5"/>
  <c r="O211" i="5"/>
  <c r="O40" i="5"/>
  <c r="O168" i="5"/>
  <c r="O126" i="5"/>
  <c r="S253" i="5"/>
  <c r="S249" i="5"/>
  <c r="S245" i="5"/>
  <c r="S241" i="5"/>
  <c r="S237" i="5"/>
  <c r="S233" i="5"/>
  <c r="S229" i="5"/>
  <c r="S225" i="5"/>
  <c r="S221" i="5"/>
  <c r="S217" i="5"/>
  <c r="S213" i="5"/>
  <c r="S209" i="5"/>
  <c r="S205" i="5"/>
  <c r="S201" i="5"/>
  <c r="S197" i="5"/>
  <c r="S193" i="5"/>
  <c r="S189" i="5"/>
  <c r="S185" i="5"/>
  <c r="S181" i="5"/>
  <c r="S177" i="5"/>
  <c r="S173" i="5"/>
  <c r="S169" i="5"/>
  <c r="S165" i="5"/>
  <c r="S161" i="5"/>
  <c r="S157" i="5"/>
  <c r="S153" i="5"/>
  <c r="S149" i="5"/>
  <c r="S145" i="5"/>
  <c r="S141" i="5"/>
  <c r="S137" i="5"/>
  <c r="S133" i="5"/>
  <c r="S129" i="5"/>
  <c r="S125" i="5"/>
  <c r="S121" i="5"/>
  <c r="S117" i="5"/>
  <c r="S113" i="5"/>
  <c r="S109" i="5"/>
  <c r="S105" i="5"/>
  <c r="S101" i="5"/>
  <c r="S97" i="5"/>
  <c r="S93" i="5"/>
  <c r="S89" i="5"/>
  <c r="S85" i="5"/>
  <c r="S81" i="5"/>
  <c r="S77" i="5"/>
  <c r="S73" i="5"/>
  <c r="S69" i="5"/>
  <c r="S65" i="5"/>
  <c r="S61" i="5"/>
  <c r="S57" i="5"/>
  <c r="S53" i="5"/>
  <c r="S49" i="5"/>
  <c r="S45" i="5"/>
  <c r="S41" i="5"/>
  <c r="S37" i="5"/>
  <c r="S33" i="5"/>
  <c r="S29" i="5"/>
  <c r="S25" i="5"/>
  <c r="S21" i="5"/>
  <c r="S17" i="5"/>
  <c r="S13" i="5"/>
  <c r="S9" i="5"/>
  <c r="S5" i="5"/>
  <c r="S256" i="5"/>
  <c r="S251" i="5"/>
  <c r="S246" i="5"/>
  <c r="S240" i="5"/>
  <c r="S235" i="5"/>
  <c r="S230" i="5"/>
  <c r="S224" i="5"/>
  <c r="S219" i="5"/>
  <c r="S214" i="5"/>
  <c r="S208" i="5"/>
  <c r="S203" i="5"/>
  <c r="S198" i="5"/>
  <c r="S192" i="5"/>
  <c r="S187" i="5"/>
  <c r="S182" i="5"/>
  <c r="S176" i="5"/>
  <c r="S171" i="5"/>
  <c r="S166" i="5"/>
  <c r="S160" i="5"/>
  <c r="S155" i="5"/>
  <c r="S150" i="5"/>
  <c r="S144" i="5"/>
  <c r="S139" i="5"/>
  <c r="S134" i="5"/>
  <c r="S128" i="5"/>
  <c r="S123" i="5"/>
  <c r="S118" i="5"/>
  <c r="S112" i="5"/>
  <c r="S107" i="5"/>
  <c r="S102" i="5"/>
  <c r="S96" i="5"/>
  <c r="S91" i="5"/>
  <c r="S86" i="5"/>
  <c r="S80" i="5"/>
  <c r="S75" i="5"/>
  <c r="S70" i="5"/>
  <c r="S64" i="5"/>
  <c r="S59" i="5"/>
  <c r="S54" i="5"/>
  <c r="S48" i="5"/>
  <c r="S43" i="5"/>
  <c r="S38" i="5"/>
  <c r="S32" i="5"/>
  <c r="S27" i="5"/>
  <c r="S22" i="5"/>
  <c r="S16" i="5"/>
  <c r="S11" i="5"/>
  <c r="S6" i="5"/>
  <c r="S1" i="5"/>
  <c r="S254" i="5"/>
  <c r="S248" i="5"/>
  <c r="S243" i="5"/>
  <c r="S238" i="5"/>
  <c r="S232" i="5"/>
  <c r="S227" i="5"/>
  <c r="S222" i="5"/>
  <c r="S216" i="5"/>
  <c r="S211" i="5"/>
  <c r="S206" i="5"/>
  <c r="S200" i="5"/>
  <c r="S195" i="5"/>
  <c r="S190" i="5"/>
  <c r="S184" i="5"/>
  <c r="S179" i="5"/>
  <c r="S174" i="5"/>
  <c r="S168" i="5"/>
  <c r="S163" i="5"/>
  <c r="S158" i="5"/>
  <c r="S152" i="5"/>
  <c r="S147" i="5"/>
  <c r="S142" i="5"/>
  <c r="S136" i="5"/>
  <c r="S131" i="5"/>
  <c r="S126" i="5"/>
  <c r="S120" i="5"/>
  <c r="S115" i="5"/>
  <c r="S110" i="5"/>
  <c r="S104" i="5"/>
  <c r="S99" i="5"/>
  <c r="S94" i="5"/>
  <c r="S88" i="5"/>
  <c r="S83" i="5"/>
  <c r="S78" i="5"/>
  <c r="S72" i="5"/>
  <c r="S67" i="5"/>
  <c r="S62" i="5"/>
  <c r="S56" i="5"/>
  <c r="S51" i="5"/>
  <c r="S46" i="5"/>
  <c r="S40" i="5"/>
  <c r="S35" i="5"/>
  <c r="S30" i="5"/>
  <c r="S24" i="5"/>
  <c r="S19" i="5"/>
  <c r="S14" i="5"/>
  <c r="S8" i="5"/>
  <c r="S3" i="5"/>
  <c r="S255" i="5"/>
  <c r="S244" i="5"/>
  <c r="S234" i="5"/>
  <c r="S223" i="5"/>
  <c r="S212" i="5"/>
  <c r="S202" i="5"/>
  <c r="S191" i="5"/>
  <c r="S180" i="5"/>
  <c r="S170" i="5"/>
  <c r="S159" i="5"/>
  <c r="S148" i="5"/>
  <c r="S138" i="5"/>
  <c r="S127" i="5"/>
  <c r="S116" i="5"/>
  <c r="S106" i="5"/>
  <c r="S95" i="5"/>
  <c r="S84" i="5"/>
  <c r="S74" i="5"/>
  <c r="S63" i="5"/>
  <c r="S52" i="5"/>
  <c r="S42" i="5"/>
  <c r="S31" i="5"/>
  <c r="S20" i="5"/>
  <c r="S10" i="5"/>
  <c r="S252" i="5"/>
  <c r="S242" i="5"/>
  <c r="S231" i="5"/>
  <c r="S220" i="5"/>
  <c r="S210" i="5"/>
  <c r="S199" i="5"/>
  <c r="S188" i="5"/>
  <c r="S178" i="5"/>
  <c r="S167" i="5"/>
  <c r="S156" i="5"/>
  <c r="S146" i="5"/>
  <c r="S135" i="5"/>
  <c r="S124" i="5"/>
  <c r="S114" i="5"/>
  <c r="S103" i="5"/>
  <c r="S92" i="5"/>
  <c r="S82" i="5"/>
  <c r="S71" i="5"/>
  <c r="S60" i="5"/>
  <c r="S50" i="5"/>
  <c r="S39" i="5"/>
  <c r="S28" i="5"/>
  <c r="S18" i="5"/>
  <c r="S7" i="5"/>
  <c r="S250" i="5"/>
  <c r="S239" i="5"/>
  <c r="S228" i="5"/>
  <c r="S218" i="5"/>
  <c r="S207" i="5"/>
  <c r="S196" i="5"/>
  <c r="S186" i="5"/>
  <c r="S175" i="5"/>
  <c r="S164" i="5"/>
  <c r="S154" i="5"/>
  <c r="S143" i="5"/>
  <c r="S132" i="5"/>
  <c r="S122" i="5"/>
  <c r="S111" i="5"/>
  <c r="S100" i="5"/>
  <c r="S90" i="5"/>
  <c r="S79" i="5"/>
  <c r="S68" i="5"/>
  <c r="S58" i="5"/>
  <c r="S47" i="5"/>
  <c r="S36" i="5"/>
  <c r="S26" i="5"/>
  <c r="S15" i="5"/>
  <c r="S4" i="5"/>
  <c r="S247" i="5"/>
  <c r="S204" i="5"/>
  <c r="S162" i="5"/>
  <c r="S119" i="5"/>
  <c r="S76" i="5"/>
  <c r="S34" i="5"/>
  <c r="S236" i="5"/>
  <c r="S194" i="5"/>
  <c r="S151" i="5"/>
  <c r="S108" i="5"/>
  <c r="S66" i="5"/>
  <c r="S23" i="5"/>
  <c r="S226" i="5"/>
  <c r="S183" i="5"/>
  <c r="S140" i="5"/>
  <c r="S98" i="5"/>
  <c r="S55" i="5"/>
  <c r="S12" i="5"/>
  <c r="S130" i="5"/>
  <c r="S215" i="5"/>
  <c r="S44" i="5"/>
  <c r="S172" i="5"/>
  <c r="S2" i="5"/>
  <c r="S87" i="5"/>
</calcChain>
</file>

<file path=xl/sharedStrings.xml><?xml version="1.0" encoding="utf-8"?>
<sst xmlns="http://schemas.openxmlformats.org/spreadsheetml/2006/main" count="5880" uniqueCount="651">
  <si>
    <t>PHONE #</t>
  </si>
  <si>
    <t>CS REP</t>
  </si>
  <si>
    <t>APPROVED</t>
  </si>
  <si>
    <t>OPENS AT</t>
  </si>
  <si>
    <t>CLIENT ID</t>
  </si>
  <si>
    <t>CLOSES AT</t>
  </si>
  <si>
    <t>LAST PICKUP</t>
  </si>
  <si>
    <t>VERIFIED WITH</t>
  </si>
  <si>
    <t>COMMENTS</t>
  </si>
  <si>
    <t>RESPONSE TIME</t>
  </si>
  <si>
    <t>STATUS</t>
  </si>
  <si>
    <t>310 East 72nd - LAB</t>
  </si>
  <si>
    <t>212-570-5885</t>
  </si>
  <si>
    <t>AYALA, RAINELLE</t>
  </si>
  <si>
    <t>UNKNOWN</t>
  </si>
  <si>
    <t>NO</t>
  </si>
  <si>
    <t/>
  </si>
  <si>
    <t>SET SCHEDULE</t>
  </si>
  <si>
    <t>310 East 72nd - PHYSICIANS</t>
  </si>
  <si>
    <t>212-746-0670</t>
  </si>
  <si>
    <t>Aronne, Louis  / Waitman / Vargas-Rodriguez, Ilana</t>
  </si>
  <si>
    <t>962-2417</t>
  </si>
  <si>
    <t>Bussell, James</t>
  </si>
  <si>
    <t>746-3400</t>
  </si>
  <si>
    <t xml:space="preserve">Fuchs, Richard </t>
  </si>
  <si>
    <t xml:space="preserve">717-2254 </t>
  </si>
  <si>
    <t xml:space="preserve">Gerardo Zullo / Dr. Michael  Zullo </t>
  </si>
  <si>
    <t xml:space="preserve">535-3359 </t>
  </si>
  <si>
    <t xml:space="preserve">Golden, Flavia </t>
  </si>
  <si>
    <t>396-3016</t>
  </si>
  <si>
    <t>Gubernick, Martin / Roth, Desider</t>
  </si>
  <si>
    <t>821-0864</t>
  </si>
  <si>
    <t>HOLIDAY:</t>
  </si>
  <si>
    <t>Hutson, Milton</t>
  </si>
  <si>
    <t>472-5340</t>
  </si>
  <si>
    <t>MASTER</t>
  </si>
  <si>
    <t>Katzman, Jay / Szubin, Lisa</t>
  </si>
  <si>
    <t>212-249-7978</t>
  </si>
  <si>
    <t>Kessler, Alan</t>
  </si>
  <si>
    <t>REPS</t>
  </si>
  <si>
    <t>DATE:</t>
  </si>
  <si>
    <t>1/1/1900</t>
  </si>
  <si>
    <t>212-879-2101</t>
  </si>
  <si>
    <t>LANTIGUA, ARIANNA</t>
  </si>
  <si>
    <t>OPEN</t>
  </si>
  <si>
    <t>MESSINA, CRYSTAL</t>
  </si>
  <si>
    <t>CLOSED</t>
  </si>
  <si>
    <t>REYES, ERIKA</t>
  </si>
  <si>
    <t>GARCIA, ERIKA</t>
  </si>
  <si>
    <t>Martorella, Andrew</t>
  </si>
  <si>
    <t>FERBER, HILDA</t>
  </si>
  <si>
    <t>212-288-2869</t>
  </si>
  <si>
    <t>PRASHAD, JENNIFER</t>
  </si>
  <si>
    <t>WALKER, KAREN</t>
  </si>
  <si>
    <t>MCCULLAGH, KERRI</t>
  </si>
  <si>
    <t>GREEN-SMITH, MARCIA</t>
  </si>
  <si>
    <t>GARCIA, MARITZA</t>
  </si>
  <si>
    <t>HANIFF, PRISSILA</t>
  </si>
  <si>
    <t>CACAO, REYNOLD</t>
  </si>
  <si>
    <t>MARTINEZ, STACY</t>
  </si>
  <si>
    <t>GUY, ANNETTE</t>
  </si>
  <si>
    <t>MILLER, CASSANDRA</t>
  </si>
  <si>
    <t>WATERMAN, KAY</t>
  </si>
  <si>
    <t>SCOLA, JOANNE</t>
  </si>
  <si>
    <t>New York Cardiology - 61st Street (6th Floor) - Anderson, Holly</t>
  </si>
  <si>
    <t>212-752-2000</t>
  </si>
  <si>
    <t>Newman-Cedar / Dr. Sacks / Dr. Gordon</t>
  </si>
  <si>
    <t>737-7800</t>
  </si>
  <si>
    <t>Ramos, Elizabeth</t>
  </si>
  <si>
    <t>396-0355</t>
  </si>
  <si>
    <t xml:space="preserve">Weiser-McCarthy, Jessica </t>
  </si>
  <si>
    <t>288-5880</t>
  </si>
  <si>
    <t>Weitzman, Gil / Cantor, Michael</t>
  </si>
  <si>
    <t>249-3720</t>
  </si>
  <si>
    <t>36 E 36th Street - 1J - Young, Kirk</t>
  </si>
  <si>
    <t>212-532-4575</t>
  </si>
  <si>
    <t>WCPN - 233 Broadway - OB/GYN</t>
  </si>
  <si>
    <t>962-5662</t>
  </si>
  <si>
    <t>Cutler, Lawrence</t>
  </si>
  <si>
    <t>535-2700</t>
  </si>
  <si>
    <t>Gracie Square Hospital</t>
  </si>
  <si>
    <t>212-434-5364</t>
  </si>
  <si>
    <t xml:space="preserve">Holiday Date </t>
  </si>
  <si>
    <t>CLIENT NAME</t>
  </si>
  <si>
    <t>PHONE</t>
  </si>
  <si>
    <t>STATUS: Will office be closed ?</t>
  </si>
  <si>
    <t>Salob, Stacey / Green, Michelle</t>
  </si>
  <si>
    <t>OPENS AT [Row 2]</t>
  </si>
  <si>
    <t>317-1100</t>
  </si>
  <si>
    <t>VERIFIED WITH:</t>
  </si>
  <si>
    <t>Smith, Barry / RENCA ACCOUNT</t>
  </si>
  <si>
    <t>746-1551</t>
  </si>
  <si>
    <t>1305 York Ave - IVF (6th Floor)</t>
  </si>
  <si>
    <t>962-3395</t>
  </si>
  <si>
    <t>CMA Broadway - 2315 Broadway - Spandofer, Steven</t>
  </si>
  <si>
    <t>646-962-2764</t>
  </si>
  <si>
    <t>CRM - 40 Worth Street - [OFFICE]</t>
  </si>
  <si>
    <t>962-7417</t>
  </si>
  <si>
    <t>CRM - 40 Worth Street - Pfeifer, Samantha</t>
  </si>
  <si>
    <t>CRM - 40 Worth Street - Reichman, D</t>
  </si>
  <si>
    <t>HT - 213</t>
  </si>
  <si>
    <t>746-3097</t>
  </si>
  <si>
    <t>HT - 230  POST TRANSPLANT</t>
  </si>
  <si>
    <t>746-3020</t>
  </si>
  <si>
    <t xml:space="preserve">JACK DREYFUS CLINIC </t>
  </si>
  <si>
    <t>746-9862</t>
  </si>
  <si>
    <t>POST/PRE TRANSPLANT</t>
  </si>
  <si>
    <t>212-746-3020</t>
  </si>
  <si>
    <t>Wolf, David</t>
  </si>
  <si>
    <t>688-7100</t>
  </si>
  <si>
    <t>CRM - 215 East 68th Street - Melnick, Alexis</t>
  </si>
  <si>
    <t>12 West 72nd Street - PEDS</t>
  </si>
  <si>
    <t>J-130</t>
  </si>
  <si>
    <t>746-0348</t>
  </si>
  <si>
    <t>LMH - ONC (7th Floor)</t>
  </si>
  <si>
    <t>646-962-5665</t>
  </si>
  <si>
    <t>LMH - ONC (7th Floor) - Chaekal, Ok- Ong</t>
  </si>
  <si>
    <t>LMH - ONC (7th Floor) - Mo, Lan</t>
  </si>
  <si>
    <t>LMH - ONC (7th Floor) - Rowe, Audrey</t>
  </si>
  <si>
    <t>525 East 68th Street - J130 - Wu, Sydney</t>
  </si>
  <si>
    <t>744-6700</t>
  </si>
  <si>
    <t>215 East 85th Street - PEDS</t>
  </si>
  <si>
    <t xml:space="preserve">Basuk, Paul </t>
  </si>
  <si>
    <t>861-9715</t>
  </si>
  <si>
    <t>CARNEGIE HILL - ENDOSCOPY</t>
  </si>
  <si>
    <t>860-6300</t>
  </si>
  <si>
    <t>CMA Broadway - 2315 Broadway - Bragin, Llana</t>
  </si>
  <si>
    <t>646-962-2110</t>
  </si>
  <si>
    <t>CMA Broadway - 2315 Broadway - Chang, Joseph</t>
  </si>
  <si>
    <t>CMA Broadway - 2315 Broadway - Cohen, David</t>
  </si>
  <si>
    <t>CMA Broadway - 2315 Broadway - Havryluik, Yelena</t>
  </si>
  <si>
    <t>746-3171</t>
  </si>
  <si>
    <t>CMA Broadway - 2315 Broadway - Rosinni, Jane</t>
  </si>
  <si>
    <t>CMA Broadway - 2315 Broadway - Sanford, Marie</t>
  </si>
  <si>
    <t>CMA Broadway - 2315 Broadway - Shultz, Christopher</t>
  </si>
  <si>
    <t>CMA Broadway - 2315 Broadway - Wu, Yu-Hsin</t>
  </si>
  <si>
    <t>CMA Tribeca - 40 Worth Street - INTERNAL MED</t>
  </si>
  <si>
    <t>646-962-3400</t>
  </si>
  <si>
    <t>CMA Tribeca - 40 Worth Street - OB/GYN</t>
  </si>
  <si>
    <t>CMA Tribeca - 40 Worth Street - PEDS</t>
  </si>
  <si>
    <t>Tahir, Muhammad</t>
  </si>
  <si>
    <t>718-230-5811</t>
  </si>
  <si>
    <t>Wu, Jennifer</t>
  </si>
  <si>
    <t>508-8899</t>
  </si>
  <si>
    <t>GROUP</t>
  </si>
  <si>
    <t>ADDRESS</t>
  </si>
  <si>
    <t>DEPARTMENT</t>
  </si>
  <si>
    <t>DR NAME</t>
  </si>
  <si>
    <t>Wu, Jennifer  (WMWH) 2nd LOC.</t>
  </si>
  <si>
    <t>646-701-0021</t>
  </si>
  <si>
    <t>1305 York Ave - ENT - [OFFICE]</t>
  </si>
  <si>
    <t>962-3681</t>
  </si>
  <si>
    <t>1305 York Ave - ENT - Alexiades, George</t>
  </si>
  <si>
    <t>1305 York Ave - ENT - Sadoughie, Babak</t>
  </si>
  <si>
    <t>1305 York Ave - ENT - Tabee, Abtin</t>
  </si>
  <si>
    <t>21 W Broadway - [OFFICE]</t>
  </si>
  <si>
    <t>746-6600</t>
  </si>
  <si>
    <t>21 W Broadway - Barbieri, Christopher</t>
  </si>
  <si>
    <t>212-746-5562</t>
  </si>
  <si>
    <t>21 W Broadway - Farber, Leonard</t>
  </si>
  <si>
    <t>21 W Broadway - Fisher, Lauren</t>
  </si>
  <si>
    <t>746-1771</t>
  </si>
  <si>
    <t>21 W Broadway - Leonard, Michael</t>
  </si>
  <si>
    <t>212-249-8056</t>
  </si>
  <si>
    <t>21 W Broadway - Libby, Laura</t>
  </si>
  <si>
    <t>628-6611</t>
  </si>
  <si>
    <t>21 W Broadway - McCarron, James</t>
  </si>
  <si>
    <t>861-3000</t>
  </si>
  <si>
    <t>21 W Broadway - Smith, Michael</t>
  </si>
  <si>
    <t>21 W Broadway - Wun. Herrick</t>
  </si>
  <si>
    <t>312-5577</t>
  </si>
  <si>
    <t>Banuchi-Crespo, Victoria</t>
  </si>
  <si>
    <t>962-9135</t>
  </si>
  <si>
    <t>Eid, F</t>
  </si>
  <si>
    <t>212-535-6690</t>
  </si>
  <si>
    <t>Metropoliton Urology - [OFFICE]</t>
  </si>
  <si>
    <t>212-535-5888</t>
  </si>
  <si>
    <t>Metropoliton Urology - Choi, Benjamin</t>
  </si>
  <si>
    <t>Metropoliton Urology - McGuire, Lynsay</t>
  </si>
  <si>
    <t>Metropoliton Urology - Shemtov, Menachem</t>
  </si>
  <si>
    <t>Nezhat, Farr</t>
  </si>
  <si>
    <t>962-7120</t>
  </si>
  <si>
    <t>Shemtov, Mendel</t>
  </si>
  <si>
    <t>212-813-1112</t>
  </si>
  <si>
    <t>WCP - 156/170 William St - 11th Floor</t>
  </si>
  <si>
    <t>646-962-5138</t>
  </si>
  <si>
    <t>WCP - 156/170 William St - 12th Floor</t>
  </si>
  <si>
    <t>962-5138</t>
  </si>
  <si>
    <t>WCPN Otolaryngology - [OFFICE]</t>
  </si>
  <si>
    <t>212-889-8575</t>
  </si>
  <si>
    <t>WCPN Otolaryngology - Apicella, Shelia</t>
  </si>
  <si>
    <t>WCPN Otolaryngology - Gold, Scott</t>
  </si>
  <si>
    <t>889-8575</t>
  </si>
  <si>
    <t>WCPN Otolaryngology - Horn, Corinne</t>
  </si>
  <si>
    <t>WCPN Otolaryngology - Karcioglu, Amanda Silver</t>
  </si>
  <si>
    <t>WCPN Otolaryngology - Krevitt, Lane</t>
  </si>
  <si>
    <t>WCPN Otolaryngology - Pincus, Robert</t>
  </si>
  <si>
    <t>501-0500</t>
  </si>
  <si>
    <t>WCPN Otolaryngology - Sperling, Neil</t>
  </si>
  <si>
    <t>LMH Internal Medicine - 156 William Street - 7th Floor</t>
  </si>
  <si>
    <t>156/170 William St - OB/GYN</t>
  </si>
  <si>
    <t>962-5665</t>
  </si>
  <si>
    <t>HANIFF, PRISSILA/Rey</t>
  </si>
  <si>
    <t>21 W Broadway - Igel, Leon</t>
  </si>
  <si>
    <t>962-2111</t>
  </si>
  <si>
    <t>21 W Broadway - Kim, So-Young</t>
  </si>
  <si>
    <t>962-8690</t>
  </si>
  <si>
    <t>21 W Broadway - Maresh, Alison</t>
  </si>
  <si>
    <t>646-962-2225</t>
  </si>
  <si>
    <t>21 W Broadway - Pecker, Mark S</t>
  </si>
  <si>
    <t>646-962-2606</t>
  </si>
  <si>
    <t>21 W Broadway - Reiger, Jill</t>
  </si>
  <si>
    <t>962-2399</t>
  </si>
  <si>
    <t xml:space="preserve">Manheimer, Forrest/ Schwartz,Jeremy /Golas, Benjamin </t>
  </si>
  <si>
    <t>646-962-5110</t>
  </si>
  <si>
    <t>OXF-200</t>
  </si>
  <si>
    <t>962-4900</t>
  </si>
  <si>
    <t>Patel, Sarju</t>
  </si>
  <si>
    <t>962-2020</t>
  </si>
  <si>
    <t>Prioleau, Philip G. / Reszko, Anetta/ McGuire, Lindsay</t>
  </si>
  <si>
    <t>794-3548</t>
  </si>
  <si>
    <t>Sorbellini, Maximiliano</t>
  </si>
  <si>
    <t>962-5151</t>
  </si>
  <si>
    <t>Basu, Patrick</t>
  </si>
  <si>
    <t>718-897-0584</t>
  </si>
  <si>
    <t>MARTINEZ, STACY/GREEN-SMITH, MARCIA</t>
  </si>
  <si>
    <t>Forest Hills - Moss, Edward</t>
  </si>
  <si>
    <t>718-520-0028</t>
  </si>
  <si>
    <t>MANH Offices - Moss, Edward</t>
  </si>
  <si>
    <t>718-389-8585</t>
  </si>
  <si>
    <t>215 East 85th Street - OB-GYN - INTERNAL MED</t>
  </si>
  <si>
    <t>Bardes, Charles</t>
  </si>
  <si>
    <t>646-962-3456</t>
  </si>
  <si>
    <t>Gelfand / Dr. Pastore</t>
  </si>
  <si>
    <t xml:space="preserve">879-3496 </t>
  </si>
  <si>
    <t>Klein, Harvey</t>
  </si>
  <si>
    <t>635 Madison Ave - 11th Floor - Towfigh, Allen</t>
  </si>
  <si>
    <t>212-717-0231</t>
  </si>
  <si>
    <t>Horizon Medical Group - WCPN</t>
  </si>
  <si>
    <t>212-879-7777</t>
  </si>
  <si>
    <t>MCCULLAGH, KERRI/MESSINA, CRYSTAL</t>
  </si>
  <si>
    <t>211 E 80th St - INTER MED</t>
  </si>
  <si>
    <t>962-8610</t>
  </si>
  <si>
    <t>211 E 80th St - INTER MED - Collier, Trenton</t>
  </si>
  <si>
    <t>211 E 80th St - INTER MED - Gingras, Laura</t>
  </si>
  <si>
    <t>Edlin, Brian</t>
  </si>
  <si>
    <t>212-845-4477</t>
  </si>
  <si>
    <t>Warschauer, Craig</t>
  </si>
  <si>
    <t>212-327-1851</t>
  </si>
  <si>
    <t>WCMC - 211 E 80th St - Edocrinology - [OFFICE]</t>
  </si>
  <si>
    <t>646-962-8690</t>
  </si>
  <si>
    <t>WCMC - 211 E 80th St - Edocrinology - Brillon, David</t>
  </si>
  <si>
    <t>WCMC - 211 E 80th St - Edocrinology - DeJesus, Jenny</t>
  </si>
  <si>
    <t>WCMC - 211 E 80th St - Edocrinology - Imeperto-McGinley, Julianne</t>
  </si>
  <si>
    <t>WCMC - 211 E 80th St - Edocrinology - Katz, Melissa</t>
  </si>
  <si>
    <t>WCMC - 211 E 80th St - Edocrinology - Mendelsohn-Curanaj, Felicia</t>
  </si>
  <si>
    <t>WCMC - 211 E 80th St - Edocrinology - Schulman, Aaron</t>
  </si>
  <si>
    <t>WCMC - 211 E 80th St - Edocrinology - Schwartz, Brian</t>
  </si>
  <si>
    <t>WCMC - 211 E 80th St - Edocrinology - Schwartz, Naina</t>
  </si>
  <si>
    <t>WCMC - 211 E 80th St - Edocrinology - Sobel, Vivian</t>
  </si>
  <si>
    <t>Acosta, Alberto</t>
  </si>
  <si>
    <t>230-1010</t>
  </si>
  <si>
    <t>Barley, Browers</t>
  </si>
  <si>
    <t>212-758-3590</t>
  </si>
  <si>
    <t>Carlon, Anne</t>
  </si>
  <si>
    <t>988-8100</t>
  </si>
  <si>
    <t>Gotto, Antonio</t>
  </si>
  <si>
    <t>646-962-6004</t>
  </si>
  <si>
    <t>Ianni, Rosa / Bassem Masri</t>
  </si>
  <si>
    <t>Kessler, George</t>
  </si>
  <si>
    <t>877-7043</t>
  </si>
  <si>
    <t xml:space="preserve">Lambroza, Aaron </t>
  </si>
  <si>
    <t xml:space="preserve">517-7570 </t>
  </si>
  <si>
    <t>Lax, James</t>
  </si>
  <si>
    <t>988-5740</t>
  </si>
  <si>
    <t xml:space="preserve">Lebowitz, Nancy </t>
  </si>
  <si>
    <t>472-8676</t>
  </si>
  <si>
    <t xml:space="preserve">Lefkowitz, David </t>
  </si>
  <si>
    <t>288-4200</t>
  </si>
  <si>
    <t>Nicolo, Danielle / Stulman, James / Hugo, Jonathan</t>
  </si>
  <si>
    <t xml:space="preserve">Reichman, Bonnie </t>
  </si>
  <si>
    <t>688-7718</t>
  </si>
  <si>
    <t xml:space="preserve">Sassoon, Robert </t>
  </si>
  <si>
    <t>628-1500</t>
  </si>
  <si>
    <t>Schulman, Aaron</t>
  </si>
  <si>
    <t>Yaghoobzadeh, Hooman</t>
  </si>
  <si>
    <t>212-861-3222</t>
  </si>
  <si>
    <t>Ziecheck, Wendy</t>
  </si>
  <si>
    <t>758-3590</t>
  </si>
  <si>
    <t>12 West 72nd Street - INT MED</t>
  </si>
  <si>
    <t>12 West 72nd Street - OB-GYN</t>
  </si>
  <si>
    <t>Dobrenis, Hockstein / Leonard</t>
  </si>
  <si>
    <t>212-821-0907</t>
  </si>
  <si>
    <t xml:space="preserve">Shaktman, Barry </t>
  </si>
  <si>
    <t>746-3237</t>
  </si>
  <si>
    <t>123 W 86th Street - [OFFICE]</t>
  </si>
  <si>
    <t>212-877-2833</t>
  </si>
  <si>
    <t>123 W 86th Street - Altman, Richard</t>
  </si>
  <si>
    <t>123 W 86th Street - Arons, Elliot</t>
  </si>
  <si>
    <t>123 W 86th Street - Blye, Ellen</t>
  </si>
  <si>
    <t>Brownstein, Iliana , Degann, Sona, Guballa, Nerissa</t>
  </si>
  <si>
    <t>249-0900</t>
  </si>
  <si>
    <t xml:space="preserve">Herzog, Ronit </t>
  </si>
  <si>
    <t>646-962-3410</t>
  </si>
  <si>
    <t>HT - 3  PEDS</t>
  </si>
  <si>
    <t>746-6290</t>
  </si>
  <si>
    <t>New York Cardiology - 61st Street (6th Floor) - [OFFICE]</t>
  </si>
  <si>
    <t>646-962-5558</t>
  </si>
  <si>
    <t>NY Cardiology - 1305 York Ave - Cardiology - [OFFICE]</t>
  </si>
  <si>
    <t>962-5558</t>
  </si>
  <si>
    <t>NY Cardiology - 1305 York Ave - Cardiology - Ascunce, Rebecca</t>
  </si>
  <si>
    <t>NY Cardiology - 1305 York Ave - Cardiology - Bernard, John</t>
  </si>
  <si>
    <t>NY Cardiology - 1305 York Ave - Cardiology - Borden, William</t>
  </si>
  <si>
    <t>NY Cardiology - 1305 York Ave - Cardiology - Feldman, Dimtry</t>
  </si>
  <si>
    <t>NY Cardiology - 1305 York Ave - Cardiology - Gelbman, Joy Marla</t>
  </si>
  <si>
    <t>NY Cardiology - 1305 York Ave - Cardiology - Kaplan, Sarah</t>
  </si>
  <si>
    <t>NY Cardiology - 1305 York Ave - Cardiology - Kim, Luke K</t>
  </si>
  <si>
    <t>NY Cardiology - 1305 York Ave - Cardiology - Minutello, Robert</t>
  </si>
  <si>
    <t>OXF-600 - [OFFICE]</t>
  </si>
  <si>
    <t>OXF-600 - Gade, Christopher</t>
  </si>
  <si>
    <t>OXF-600 - Wilentz, James</t>
  </si>
  <si>
    <t>OXF-600 - Yang, Yi Ming</t>
  </si>
  <si>
    <t>Perelstein, Eduardo</t>
  </si>
  <si>
    <t>646-962-2331</t>
  </si>
  <si>
    <t>Sherman, Raymond / Hartman, Barry</t>
  </si>
  <si>
    <t>746-6921</t>
  </si>
  <si>
    <t>Smith, Paul T</t>
  </si>
  <si>
    <t>212-396-4077</t>
  </si>
  <si>
    <t xml:space="preserve">Vogiatzi, Maria </t>
  </si>
  <si>
    <t>746-3462</t>
  </si>
  <si>
    <t>Yu, Joyce</t>
  </si>
  <si>
    <t>962-3410</t>
  </si>
  <si>
    <t>1305 York Ave - 4th Fl - De Jong, Ype</t>
  </si>
  <si>
    <t>962-5350</t>
  </si>
  <si>
    <t>1305 York Ave - 4th Floor - Brown, Robert</t>
  </si>
  <si>
    <t>962-5483</t>
  </si>
  <si>
    <t>1305 York Ave - 4th Floor - Bunim, Ari Lance</t>
  </si>
  <si>
    <t>1305 York Ave - 4th Floor - Fox, Alyson</t>
  </si>
  <si>
    <t>962-5384</t>
  </si>
  <si>
    <t>1305 York Ave - 4th Floor - Frissora, Christine</t>
  </si>
  <si>
    <t>962-4000</t>
  </si>
  <si>
    <t>1305 York Ave - 4th Floor - Jesudian, Eleni</t>
  </si>
  <si>
    <t>1305 York Ave - 4th Floor - Kumar, Sonal</t>
  </si>
  <si>
    <t>962-4040</t>
  </si>
  <si>
    <t>1305 York Ave - 4th Floor - Reem, Shariaha</t>
  </si>
  <si>
    <t>1305 York Ave - 4th Floor - Vielemeyer, Ole</t>
  </si>
  <si>
    <t>962-8747</t>
  </si>
  <si>
    <t>1305 York Ave - 4th Floor - Wan, David</t>
  </si>
  <si>
    <t>1305 York Ave - 4th Floor - Weinberg, Ethan</t>
  </si>
  <si>
    <t>962-4800</t>
  </si>
  <si>
    <t>1315 York Ave - Alfons, Pomp</t>
  </si>
  <si>
    <t>746-5294</t>
  </si>
  <si>
    <t>1315 York Ave - Dakin, Gregory</t>
  </si>
  <si>
    <t>1315 York Ave - Steinlauf, Adam Franklin</t>
  </si>
  <si>
    <t>746-5077</t>
  </si>
  <si>
    <t>425 E 61st St - 11th Floor</t>
  </si>
  <si>
    <t>821-0942</t>
  </si>
  <si>
    <t>525 E 68th St - Neurology ST 661</t>
  </si>
  <si>
    <t>746-2321</t>
  </si>
  <si>
    <t>8 North - M2 - DIALYSIS</t>
  </si>
  <si>
    <t>746-3151</t>
  </si>
  <si>
    <t>Altorki, Nasser K.</t>
  </si>
  <si>
    <t>746-5156</t>
  </si>
  <si>
    <t>BAKER - 23 - PEDS SPCL STUDIES</t>
  </si>
  <si>
    <t>746-3326</t>
  </si>
  <si>
    <t>BAKER - 24</t>
  </si>
  <si>
    <t>746-4180</t>
  </si>
  <si>
    <t>Bednarek, Karl T</t>
  </si>
  <si>
    <t>Borer, Jeffery S</t>
  </si>
  <si>
    <t>289-7777</t>
  </si>
  <si>
    <t>CARDIOLOGY - ST4</t>
  </si>
  <si>
    <t>746-2172</t>
  </si>
  <si>
    <t>CENTER FOR SPECIALTY CARE</t>
  </si>
  <si>
    <t xml:space="preserve">570-4000 </t>
  </si>
  <si>
    <t>CENTER STICH 1 - Soumekh, Amir</t>
  </si>
  <si>
    <t>746-4014</t>
  </si>
  <si>
    <t>Coll, Raymond</t>
  </si>
  <si>
    <t>249-0840</t>
  </si>
  <si>
    <t>Crawford, Carl</t>
  </si>
  <si>
    <t>Creatura, Chris</t>
  </si>
  <si>
    <t>772-3800</t>
  </si>
  <si>
    <t>Feit, Lauren / Dr. Joseph Finkelstein</t>
  </si>
  <si>
    <t>570-9200</t>
  </si>
  <si>
    <t>Girardi, Leonard</t>
  </si>
  <si>
    <t>746-5194</t>
  </si>
  <si>
    <t>Goldin, Daniel</t>
  </si>
  <si>
    <t>857-4513</t>
  </si>
  <si>
    <t>HEMO ONC - ST 341</t>
  </si>
  <si>
    <t>746-5102</t>
  </si>
  <si>
    <t>Hochreiter, Clair</t>
  </si>
  <si>
    <t>746-5846</t>
  </si>
  <si>
    <t>Hoffman, Lloyd</t>
  </si>
  <si>
    <t>212-861-1640</t>
  </si>
  <si>
    <t>HSS - Lane, Joseph</t>
  </si>
  <si>
    <t>606-1172</t>
  </si>
  <si>
    <t xml:space="preserve">HT - 4 </t>
  </si>
  <si>
    <t>746-2884</t>
  </si>
  <si>
    <t>HT - 5 PEDS</t>
  </si>
  <si>
    <t>746-3320</t>
  </si>
  <si>
    <t>HT - 560 OB/GYN</t>
  </si>
  <si>
    <t>746-3200</t>
  </si>
  <si>
    <t>HYPERTENSION</t>
  </si>
  <si>
    <t>962-2605</t>
  </si>
  <si>
    <t>Jacobs, Jonathan</t>
  </si>
  <si>
    <t>746-1873</t>
  </si>
  <si>
    <t>Jacobs, Michael</t>
  </si>
  <si>
    <t>212-772-7190</t>
  </si>
  <si>
    <t xml:space="preserve">Joan Kent </t>
  </si>
  <si>
    <t>772-2900</t>
  </si>
  <si>
    <t>Lanzberg, Brian</t>
  </si>
  <si>
    <t>737-5000</t>
  </si>
  <si>
    <t xml:space="preserve">Levy, Miriam </t>
  </si>
  <si>
    <t>794-2500</t>
  </si>
  <si>
    <t>Magid, Norman</t>
  </si>
  <si>
    <t>752-3464</t>
  </si>
  <si>
    <t>Maltz, Charles</t>
  </si>
  <si>
    <t>Manevitz, Alan</t>
  </si>
  <si>
    <t>751-5072</t>
  </si>
  <si>
    <t>MD Park Ave - [OFFICE]</t>
  </si>
  <si>
    <t>646-350-0420</t>
  </si>
  <si>
    <t>MD Park Ave - Ellis, George</t>
  </si>
  <si>
    <t>MD Park Ave - Midonick, Shari</t>
  </si>
  <si>
    <t>Miskovitz, Paul / Eng, Angie / Cooper, Robert</t>
  </si>
  <si>
    <t>717-4966</t>
  </si>
  <si>
    <t>NYH - Endocrine Baker 20</t>
  </si>
  <si>
    <t>Olsen, Sonja Kristine / Brown, Robert / Fox, Allison / Lavine, S</t>
  </si>
  <si>
    <t>646-962-5483</t>
  </si>
  <si>
    <t>Olson, Mary</t>
  </si>
  <si>
    <t>646-962-4742</t>
  </si>
  <si>
    <t>OXF-300 - [OFFICE]</t>
  </si>
  <si>
    <t>962-6500</t>
  </si>
  <si>
    <t>OXF-300 - Niesvizky, Rubin</t>
  </si>
  <si>
    <t>OXF-300 - Pearse, Roger</t>
  </si>
  <si>
    <t>OXF-300 - Tomer, Mark</t>
  </si>
  <si>
    <t>Pasmantier, Mark , Coleman, Morton, Decter, Julian</t>
  </si>
  <si>
    <t>517-5900</t>
  </si>
  <si>
    <t>PAYSON 3 OUTPATIENT ONCOLOGY</t>
  </si>
  <si>
    <t>746-5974</t>
  </si>
  <si>
    <t>PEDS HEMO ONC - P695</t>
  </si>
  <si>
    <t>PREIPHERAL NEUROPHATY (Group)</t>
  </si>
  <si>
    <t>646-962-3202</t>
  </si>
  <si>
    <t>Presby Draw Station</t>
  </si>
  <si>
    <t>326-8444/3374</t>
  </si>
  <si>
    <t xml:space="preserve">Prystowsky, Janet H </t>
  </si>
  <si>
    <t>230-1212</t>
  </si>
  <si>
    <t>Purohit, Rajveer</t>
  </si>
  <si>
    <t>772-3900</t>
  </si>
  <si>
    <t>Rapoport, Samuel</t>
  </si>
  <si>
    <t>570-0642</t>
  </si>
  <si>
    <t xml:space="preserve">Reed, Lawrence </t>
  </si>
  <si>
    <t>772-8300</t>
  </si>
  <si>
    <t>Rochwarger, Arnold / Goldin, Howard</t>
  </si>
  <si>
    <t>249-0404</t>
  </si>
  <si>
    <t>Rosenberg, Howard</t>
  </si>
  <si>
    <t>212-744-1170</t>
  </si>
  <si>
    <t>Sadick, Neil</t>
  </si>
  <si>
    <t>772-7242</t>
  </si>
  <si>
    <t xml:space="preserve">Scrimminger, Leon </t>
  </si>
  <si>
    <t>249-1627</t>
  </si>
  <si>
    <t>Simon, Jean-Paul</t>
  </si>
  <si>
    <t>677-1000</t>
  </si>
  <si>
    <t>Sotelo, Julio E</t>
  </si>
  <si>
    <t>439-6700</t>
  </si>
  <si>
    <t>Steigman, Shaun / Merianos, Demetri</t>
  </si>
  <si>
    <t>746-5648</t>
  </si>
  <si>
    <t>STUDENT HEALTH</t>
  </si>
  <si>
    <t>962-6942</t>
  </si>
  <si>
    <t>Tsai, Tony</t>
  </si>
  <si>
    <t>212-481-7888/8088</t>
  </si>
  <si>
    <t>UROLOGY - ST - 9</t>
  </si>
  <si>
    <t>746-5455</t>
  </si>
  <si>
    <t>WCMC - Bariatric Surgery</t>
  </si>
  <si>
    <t>746-9187</t>
  </si>
  <si>
    <t>WCMC - General Surgery</t>
  </si>
  <si>
    <t>746-5130</t>
  </si>
  <si>
    <t>Weiss, Jona</t>
  </si>
  <si>
    <t>988-6060</t>
  </si>
  <si>
    <t>Williams, John</t>
  </si>
  <si>
    <t>212-861-1100</t>
  </si>
  <si>
    <t>WRIGHT CENTER</t>
  </si>
  <si>
    <t>746-7000</t>
  </si>
  <si>
    <t xml:space="preserve">Yarberry-Allen, Patricia </t>
  </si>
  <si>
    <t>410-4280</t>
  </si>
  <si>
    <t>Bosworth, Brian / Scherl, Ellen / Jacobs, V</t>
  </si>
  <si>
    <t>WATERMAN, KAY/MILLER, CASSANDRA</t>
  </si>
  <si>
    <t>CLIENT CODE</t>
  </si>
  <si>
    <t>K09</t>
  </si>
  <si>
    <t>12 West 72nd Street</t>
  </si>
  <si>
    <t>INT MED</t>
  </si>
  <si>
    <t>OB-GYN</t>
  </si>
  <si>
    <t>PEDS</t>
  </si>
  <si>
    <t>123 W 86th Street</t>
  </si>
  <si>
    <t>[OFFICE]</t>
  </si>
  <si>
    <t>Altman, Richard</t>
  </si>
  <si>
    <t>Arons, Elliot</t>
  </si>
  <si>
    <t>Blye, Ellen</t>
  </si>
  <si>
    <t>1305 York Ave</t>
  </si>
  <si>
    <t>4th Fl</t>
  </si>
  <si>
    <t>De Jong, Ype</t>
  </si>
  <si>
    <t>4th Floor</t>
  </si>
  <si>
    <t>Brown, Robert</t>
  </si>
  <si>
    <t>Bunim, Ari Lance</t>
  </si>
  <si>
    <t>Fox, Alyson</t>
  </si>
  <si>
    <t>Frissora, Christine</t>
  </si>
  <si>
    <t>Jesudian, Eleni</t>
  </si>
  <si>
    <t>Kumar, Sonal</t>
  </si>
  <si>
    <t>Reem, Shariaha</t>
  </si>
  <si>
    <t>Vielemeyer, Ole</t>
  </si>
  <si>
    <t>Wan, David</t>
  </si>
  <si>
    <t>Weinberg, Ethan</t>
  </si>
  <si>
    <t>ENT</t>
  </si>
  <si>
    <t>Alexiades, George</t>
  </si>
  <si>
    <t>Sadoughie, Babak</t>
  </si>
  <si>
    <t>Tabee, Abtin</t>
  </si>
  <si>
    <t>IVF (6th Floor)</t>
  </si>
  <si>
    <t>1315 York Ave</t>
  </si>
  <si>
    <t>Alfons, Pomp</t>
  </si>
  <si>
    <t>Dakin, Gregory</t>
  </si>
  <si>
    <t>Steinlauf, Adam Franklin</t>
  </si>
  <si>
    <t>156/170 William St</t>
  </si>
  <si>
    <t>OB/GYN</t>
  </si>
  <si>
    <t>21 W Broadway</t>
  </si>
  <si>
    <t>Barbieri, Christopher</t>
  </si>
  <si>
    <t>Farber, Leonard</t>
  </si>
  <si>
    <t>Fisher, Lauren</t>
  </si>
  <si>
    <t>Igel, Leon</t>
  </si>
  <si>
    <t>Kim, So-Young</t>
  </si>
  <si>
    <t>Leonard, Michael</t>
  </si>
  <si>
    <t>Libby, Laura</t>
  </si>
  <si>
    <t>Maresh, Alison</t>
  </si>
  <si>
    <t>McCarron, James</t>
  </si>
  <si>
    <t>Pecker, Mark S</t>
  </si>
  <si>
    <t>Reiger, Jill</t>
  </si>
  <si>
    <t>Smith, Michael</t>
  </si>
  <si>
    <t>Wun. Herrick</t>
  </si>
  <si>
    <t>211 E 80th St</t>
  </si>
  <si>
    <t>INTER MED</t>
  </si>
  <si>
    <t>Collier, Trenton</t>
  </si>
  <si>
    <t>Gingras, Laura</t>
  </si>
  <si>
    <t>215 East 85th Street</t>
  </si>
  <si>
    <t>OB-GYN - INTERNAL MED</t>
  </si>
  <si>
    <t>310 East 72nd</t>
  </si>
  <si>
    <t>LAB</t>
  </si>
  <si>
    <t>PHYSICIANS</t>
  </si>
  <si>
    <t>36 E 36th Street</t>
  </si>
  <si>
    <t>1J</t>
  </si>
  <si>
    <t>Young, Kirk</t>
  </si>
  <si>
    <t>425 E 61st St</t>
  </si>
  <si>
    <t>11th Floor</t>
  </si>
  <si>
    <t>525 E 68th St</t>
  </si>
  <si>
    <t>Neurology ST 661</t>
  </si>
  <si>
    <t>8 North</t>
  </si>
  <si>
    <t>M2 - DIALYSIS</t>
  </si>
  <si>
    <t>YES</t>
  </si>
  <si>
    <t>BAKER - 23</t>
  </si>
  <si>
    <t>PEDS SPCL STUDIES</t>
  </si>
  <si>
    <t>CARNEGIE HILL</t>
  </si>
  <si>
    <t>ENDOSCOPY</t>
  </si>
  <si>
    <t>CENTER STICH 1</t>
  </si>
  <si>
    <t>Soumekh, Amir</t>
  </si>
  <si>
    <t>CMA Broadway</t>
  </si>
  <si>
    <t>2315 Broadway</t>
  </si>
  <si>
    <t>Bragin, Llana</t>
  </si>
  <si>
    <t>Chang, Joseph</t>
  </si>
  <si>
    <t>Cohen, David</t>
  </si>
  <si>
    <t>Havryluik, Yelena</t>
  </si>
  <si>
    <t>Rosinni, Jane</t>
  </si>
  <si>
    <t>Sanford, Marie</t>
  </si>
  <si>
    <t>Shultz, Christopher</t>
  </si>
  <si>
    <t>Spandofer, Steven</t>
  </si>
  <si>
    <t>Wu, Yu-Hsin</t>
  </si>
  <si>
    <t>CMA Tribeca</t>
  </si>
  <si>
    <t>40 Worth Street</t>
  </si>
  <si>
    <t>INTERNAL MED</t>
  </si>
  <si>
    <t>CRM</t>
  </si>
  <si>
    <t>Pfeifer, Samantha</t>
  </si>
  <si>
    <t>Reichman, D</t>
  </si>
  <si>
    <t>Forest Hills</t>
  </si>
  <si>
    <t>Moss, Edward</t>
  </si>
  <si>
    <t>HSS</t>
  </si>
  <si>
    <t>Lane, Joseph</t>
  </si>
  <si>
    <t>LMH</t>
  </si>
  <si>
    <t>ONC (7th Floor)</t>
  </si>
  <si>
    <t>Chaekal, Ok- Ong</t>
  </si>
  <si>
    <t>Mo, Lan</t>
  </si>
  <si>
    <t>Rowe, Audrey</t>
  </si>
  <si>
    <t>MANH Offices</t>
  </si>
  <si>
    <t>MD Park Ave</t>
  </si>
  <si>
    <t>Ellis, George</t>
  </si>
  <si>
    <t>Midonick, Shari</t>
  </si>
  <si>
    <t>Metropoliton Urology</t>
  </si>
  <si>
    <t>Choi, Benjamin</t>
  </si>
  <si>
    <t>McGuire, Lynsay</t>
  </si>
  <si>
    <t>Shemtov, Menachem</t>
  </si>
  <si>
    <t>New York Cardiology</t>
  </si>
  <si>
    <t>61st Street (6th Floor)</t>
  </si>
  <si>
    <t>Anderson, Holly</t>
  </si>
  <si>
    <t>NY Cardiology</t>
  </si>
  <si>
    <t>Cardiology</t>
  </si>
  <si>
    <t>Ascunce, Rebecca</t>
  </si>
  <si>
    <t>Bernard, John</t>
  </si>
  <si>
    <t>Borden, William</t>
  </si>
  <si>
    <t>Feldman, Dimtry</t>
  </si>
  <si>
    <t>Gelbman, Joy Marla</t>
  </si>
  <si>
    <t>Kaplan, Sarah</t>
  </si>
  <si>
    <t>Kim, Luke K</t>
  </si>
  <si>
    <t>Minutello, Robert</t>
  </si>
  <si>
    <t>NYH</t>
  </si>
  <si>
    <t>Endocrine Baker 20</t>
  </si>
  <si>
    <t>OXF-300</t>
  </si>
  <si>
    <t>Niesvizky, Rubin</t>
  </si>
  <si>
    <t>Pearse, Roger</t>
  </si>
  <si>
    <t>Tomer, Mark</t>
  </si>
  <si>
    <t>OXF-600</t>
  </si>
  <si>
    <t>Gade, Christopher</t>
  </si>
  <si>
    <t>Wilentz, James</t>
  </si>
  <si>
    <t>Yang, Yi Ming</t>
  </si>
  <si>
    <t>WCMC</t>
  </si>
  <si>
    <t>Edocrinology</t>
  </si>
  <si>
    <t>Brillon, David</t>
  </si>
  <si>
    <t>DeJesus, Jenny</t>
  </si>
  <si>
    <t>Imeperto-McGinley, Julianne</t>
  </si>
  <si>
    <t>Katz, Melissa</t>
  </si>
  <si>
    <t>Mendelsohn-Curanaj, Felicia</t>
  </si>
  <si>
    <t>Schwartz, Brian</t>
  </si>
  <si>
    <t>Schwartz, Naina</t>
  </si>
  <si>
    <t>Sobel, Vivian</t>
  </si>
  <si>
    <t>Bariatric Surgery</t>
  </si>
  <si>
    <t>General Surgery</t>
  </si>
  <si>
    <t>WCP</t>
  </si>
  <si>
    <t>12th Floor</t>
  </si>
  <si>
    <t>WCPN</t>
  </si>
  <si>
    <t>233 Broadway</t>
  </si>
  <si>
    <t>WCPN Otolaryngology</t>
  </si>
  <si>
    <t>Apicella, Shelia</t>
  </si>
  <si>
    <t>Gold, Scott</t>
  </si>
  <si>
    <t>Horn, Corinne</t>
  </si>
  <si>
    <t>Karcioglu, Amanda Silver</t>
  </si>
  <si>
    <t>Krevitt, Lane</t>
  </si>
  <si>
    <t>Pincus, Robert</t>
  </si>
  <si>
    <t>Sperling, Neil</t>
  </si>
  <si>
    <t>525 East 68th Street</t>
  </si>
  <si>
    <t>J130</t>
  </si>
  <si>
    <t>Wu, Sydney</t>
  </si>
  <si>
    <t>LMH Internal Medicine</t>
  </si>
  <si>
    <t>156 William Street</t>
  </si>
  <si>
    <t>7th Floor</t>
  </si>
  <si>
    <t>215 East 68th Street</t>
  </si>
  <si>
    <t>Melnick, Alexis</t>
  </si>
  <si>
    <t>635 Madison Ave</t>
  </si>
  <si>
    <t>Towfigh, 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</si>
</sst>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&quot;:&quot;mm"/>
    <numFmt numFmtId="165" formatCode="m&quot;/&quot;d&quot;/&quot;yyyy&quot; &quot;h&quot;:&quot;mm"/>
  </numFmts>
  <fonts count="5">
    <font>
      <sz val="10"/>
      <color rgb="FF000000"/>
      <name val="Arial"/>
    </font>
    <font>
      <b/>
      <sz val="10"/>
      <name val="Arial"/>
    </font>
    <font>
      <u/>
      <sz val="10"/>
      <color rgb="FF0000FF"/>
      <name val="Arial"/>
    </font>
    <font>
      <sz val="10"/>
      <name val="Arial"/>
    </font>
    <font>
      <sz val="11"/>
      <color rgb="FF000000"/>
      <name val="&quot;Calibri&quot;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0" fontId="1" fillId="0" borderId="0" xfId="0" applyFont="1" applyAlignment="1"/>
    <xf numFmtId="165" fontId="1" fillId="0" borderId="0" xfId="0" applyNumberFormat="1" applyFont="1" applyAlignment="1">
      <alignment horizontal="left"/>
    </xf>
    <xf numFmtId="164" fontId="1" fillId="0" borderId="0" xfId="0" applyNumberFormat="1" applyFont="1" applyAlignment="1"/>
    <xf numFmtId="165" fontId="1" fillId="0" borderId="0" xfId="0" applyNumberFormat="1" applyFont="1" applyAlignme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/>
    <xf numFmtId="165" fontId="3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/>
    <xf numFmtId="0" fontId="3" fillId="0" borderId="0" xfId="0" applyFont="1" applyAlignment="1"/>
    <xf numFmtId="0" fontId="1" fillId="2" borderId="0" xfId="0" applyFont="1" applyFill="1" applyAlignment="1">
      <alignment horizontal="left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/>
    <xf numFmtId="164" fontId="3" fillId="0" borderId="0" xfId="0" applyNumberFormat="1" applyFont="1" applyAlignment="1"/>
    <xf numFmtId="0" fontId="4" fillId="0" borderId="0" xfId="0" applyFont="1" applyAlignment="1"/>
  </cellXfs>
  <cellStyles count="1">
    <cellStyle name="Normal" xfId="0" builtinId="0"/>
  </cellStyles>
  <dxfs count="12"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4C7C3"/>
          <bgColor rgb="FFF4C7C3"/>
        </patternFill>
      </fill>
      <border>
        <left/>
        <right/>
        <top/>
        <bottom/>
      </border>
    </dxf>
    <dxf>
      <fill>
        <patternFill patternType="solid">
          <fgColor rgb="FFFCE8B2"/>
          <bgColor rgb="FFFCE8B2"/>
        </patternFill>
      </fill>
      <border>
        <left/>
        <right/>
        <top/>
        <bottom/>
      </border>
    </dxf>
    <dxf>
      <fill>
        <patternFill patternType="solid">
          <fgColor rgb="FFFCE8B2"/>
          <bgColor rgb="FFFCE8B2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4C7C3"/>
          <bgColor rgb="FFF4C7C3"/>
        </patternFill>
      </fill>
      <border>
        <left/>
        <right/>
        <top/>
        <bottom/>
      </border>
    </dxf>
    <dxf>
      <fill>
        <patternFill patternType="solid">
          <fgColor rgb="FFF4C7C3"/>
          <bgColor rgb="FFF4C7C3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CE8B2"/>
          <bgColor rgb="FFFCE8B2"/>
        </patternFill>
      </fill>
      <border>
        <left/>
        <right/>
        <top/>
        <bottom/>
      </border>
    </dxf>
    <dxf>
      <fill>
        <patternFill patternType="solid">
          <fgColor rgb="FFF4C7C3"/>
          <bgColor rgb="FFF4C7C3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forms/d/1sdamcYaC8b3qgvHyBWHXHMZvWG9hYBlh9gx3e1mFYEM/viewform?entry.97229552=OXF-200&amp;entry.73470703=&amp;entry.610927917=&amp;entry.251733383=&amp;entry.738369901=&amp;entry.336840860=NO" TargetMode="External"/><Relationship Id="rId2" Type="http://schemas.openxmlformats.org/officeDocument/2006/relationships/hyperlink" Target="https://docs.google.com/forms/d/1sdamcYaC8b3qgvHyBWHXHMZvWG9hYBlh9gx3e1mFYEM/viewform?entry.97229552=J-130&amp;entry.73470703=&amp;entry.610927917=&amp;entry.251733383=&amp;entry.738369901=&amp;entry.336840860=NO" TargetMode="External"/><Relationship Id="rId1" Type="http://schemas.openxmlformats.org/officeDocument/2006/relationships/hyperlink" Target="https://docs.google.com/forms/d/1sdamcYaC8b3qgvHyBWHXHMZvWG9hYBlh9gx3e1mFYEM/viewform?entry.97229552=&amp;entry.73470703=&amp;entry.610927917=HYPERTENSION&amp;entry.251733383=&amp;entry.738369901=&amp;entry.336840860=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pane ySplit="1" topLeftCell="A2" activePane="bottomLeft" state="frozen"/>
      <selection pane="bottomLeft" activeCell="A2" sqref="A2"/>
    </sheetView>
  </sheetViews>
  <sheetFormatPr defaultColWidth="14.42578125" defaultRowHeight="15.75" customHeight="1"/>
  <cols>
    <col min="1" max="1" width="16.140625" customWidth="1"/>
    <col min="2" max="2" width="57.5703125" customWidth="1"/>
    <col min="3" max="3" width="16.7109375" customWidth="1"/>
    <col min="4" max="4" width="38.85546875" customWidth="1"/>
    <col min="5" max="5" width="10.7109375" customWidth="1"/>
    <col min="6" max="6" width="11.28515625" customWidth="1"/>
    <col min="7" max="7" width="14.85546875" customWidth="1"/>
    <col min="8" max="8" width="14.42578125" customWidth="1"/>
    <col min="9" max="9" width="13.28515625" customWidth="1"/>
    <col min="11" max="11" width="22.140625" customWidth="1"/>
    <col min="12" max="12" width="29.42578125" customWidth="1"/>
  </cols>
  <sheetData>
    <row r="1" spans="1:12" ht="15.75" customHeight="1">
      <c r="A1" s="1" t="str">
        <f ca="1">IFERROR(__xludf.DUMMYFUNCTION("FILTER({MASTER!B1,MASTER!H1,MASTER!K1:T1},1=1)"),"SET SCHEDULE")</f>
        <v>SET SCHEDULE</v>
      </c>
      <c r="B1" s="1" t="s">
        <v>4</v>
      </c>
      <c r="C1" s="4" t="s">
        <v>0</v>
      </c>
      <c r="D1" s="1" t="s">
        <v>1</v>
      </c>
      <c r="E1" s="1" t="s">
        <v>10</v>
      </c>
      <c r="F1" s="1" t="s">
        <v>2</v>
      </c>
      <c r="G1" s="3" t="s">
        <v>3</v>
      </c>
      <c r="H1" s="3" t="s">
        <v>5</v>
      </c>
      <c r="I1" s="3" t="s">
        <v>6</v>
      </c>
      <c r="J1" s="1" t="s">
        <v>7</v>
      </c>
      <c r="K1" s="1" t="s">
        <v>8</v>
      </c>
      <c r="L1" s="7" t="s">
        <v>9</v>
      </c>
    </row>
    <row r="2" spans="1:12" ht="15.75" customHeight="1">
      <c r="A2" s="11" t="str">
        <f ca="1">IFERROR(__xludf.DUMMYFUNCTION("SORT(FILTER({MASTER!B2:B1000,MASTER!H2:H1000,MASTER!K2:T1000},MASTER!H2:H1000 &lt;&gt; """"),4,TRUE)"),"SET SCHEDULE")</f>
        <v>SET SCHEDULE</v>
      </c>
      <c r="B2" t="s">
        <v>11</v>
      </c>
      <c r="C2" s="12" t="s">
        <v>12</v>
      </c>
      <c r="D2" t="s">
        <v>13</v>
      </c>
      <c r="E2" t="s">
        <v>14</v>
      </c>
      <c r="F2" t="s">
        <v>15</v>
      </c>
      <c r="G2" s="13" t="s">
        <v>16</v>
      </c>
      <c r="H2" s="13" t="s">
        <v>16</v>
      </c>
      <c r="I2" s="13" t="s">
        <v>16</v>
      </c>
      <c r="J2" t="s">
        <v>16</v>
      </c>
      <c r="K2" t="s">
        <v>16</v>
      </c>
      <c r="L2" s="14" t="s">
        <v>16</v>
      </c>
    </row>
    <row r="3" spans="1:12" ht="15.75" customHeight="1">
      <c r="A3" s="11" t="s">
        <v>17</v>
      </c>
      <c r="B3" t="s">
        <v>18</v>
      </c>
      <c r="C3" s="12" t="s">
        <v>19</v>
      </c>
      <c r="D3" t="s">
        <v>13</v>
      </c>
      <c r="E3" t="s">
        <v>14</v>
      </c>
      <c r="F3" t="s">
        <v>15</v>
      </c>
      <c r="G3" s="13" t="s">
        <v>16</v>
      </c>
      <c r="H3" s="13" t="s">
        <v>16</v>
      </c>
      <c r="I3" s="13" t="s">
        <v>16</v>
      </c>
      <c r="J3" t="s">
        <v>16</v>
      </c>
      <c r="K3" t="s">
        <v>16</v>
      </c>
      <c r="L3" s="14" t="s">
        <v>16</v>
      </c>
    </row>
    <row r="4" spans="1:12" ht="15.75" customHeight="1">
      <c r="A4" s="11" t="s">
        <v>17</v>
      </c>
      <c r="B4" t="s">
        <v>20</v>
      </c>
      <c r="C4" s="12" t="s">
        <v>21</v>
      </c>
      <c r="D4" t="s">
        <v>13</v>
      </c>
      <c r="E4" t="s">
        <v>14</v>
      </c>
      <c r="F4" t="s">
        <v>15</v>
      </c>
      <c r="G4" s="13" t="s">
        <v>16</v>
      </c>
      <c r="H4" s="13" t="s">
        <v>16</v>
      </c>
      <c r="I4" s="13" t="s">
        <v>16</v>
      </c>
      <c r="J4" t="s">
        <v>16</v>
      </c>
      <c r="K4" t="s">
        <v>16</v>
      </c>
      <c r="L4" s="14" t="s">
        <v>16</v>
      </c>
    </row>
    <row r="5" spans="1:12" ht="15.75" customHeight="1">
      <c r="A5" s="11" t="s">
        <v>17</v>
      </c>
      <c r="B5" t="s">
        <v>22</v>
      </c>
      <c r="C5" s="12" t="s">
        <v>23</v>
      </c>
      <c r="D5" t="s">
        <v>13</v>
      </c>
      <c r="E5" t="s">
        <v>14</v>
      </c>
      <c r="F5" t="s">
        <v>15</v>
      </c>
      <c r="G5" s="13" t="s">
        <v>16</v>
      </c>
      <c r="H5" s="13" t="s">
        <v>16</v>
      </c>
      <c r="I5" s="13" t="s">
        <v>16</v>
      </c>
      <c r="J5" t="s">
        <v>16</v>
      </c>
      <c r="K5" t="s">
        <v>16</v>
      </c>
      <c r="L5" s="14" t="s">
        <v>16</v>
      </c>
    </row>
    <row r="6" spans="1:12" ht="15.75" customHeight="1">
      <c r="A6" s="11" t="s">
        <v>17</v>
      </c>
      <c r="B6" t="s">
        <v>24</v>
      </c>
      <c r="C6" s="12" t="s">
        <v>25</v>
      </c>
      <c r="D6" t="s">
        <v>13</v>
      </c>
      <c r="E6" t="s">
        <v>14</v>
      </c>
      <c r="F6" t="s">
        <v>15</v>
      </c>
      <c r="G6" s="13" t="s">
        <v>16</v>
      </c>
      <c r="H6" s="13" t="s">
        <v>16</v>
      </c>
      <c r="I6" s="13" t="s">
        <v>16</v>
      </c>
      <c r="J6" t="s">
        <v>16</v>
      </c>
      <c r="K6" t="s">
        <v>16</v>
      </c>
      <c r="L6" s="14" t="s">
        <v>16</v>
      </c>
    </row>
    <row r="7" spans="1:12" ht="15.75" customHeight="1">
      <c r="A7" s="11" t="s">
        <v>17</v>
      </c>
      <c r="B7" t="s">
        <v>26</v>
      </c>
      <c r="C7" s="12" t="s">
        <v>27</v>
      </c>
      <c r="D7" t="s">
        <v>13</v>
      </c>
      <c r="E7" t="s">
        <v>14</v>
      </c>
      <c r="F7" t="s">
        <v>15</v>
      </c>
      <c r="G7" s="13" t="s">
        <v>16</v>
      </c>
      <c r="H7" s="13" t="s">
        <v>16</v>
      </c>
      <c r="I7" s="13" t="s">
        <v>16</v>
      </c>
      <c r="J7" t="s">
        <v>16</v>
      </c>
      <c r="K7" t="s">
        <v>16</v>
      </c>
      <c r="L7" s="14" t="s">
        <v>16</v>
      </c>
    </row>
    <row r="8" spans="1:12" ht="15.75" customHeight="1">
      <c r="A8" s="11" t="s">
        <v>17</v>
      </c>
      <c r="B8" t="s">
        <v>28</v>
      </c>
      <c r="C8" s="12" t="s">
        <v>29</v>
      </c>
      <c r="D8" t="s">
        <v>13</v>
      </c>
      <c r="E8" t="s">
        <v>14</v>
      </c>
      <c r="F8" t="s">
        <v>15</v>
      </c>
      <c r="G8" s="13" t="s">
        <v>16</v>
      </c>
      <c r="H8" s="13" t="s">
        <v>16</v>
      </c>
      <c r="I8" s="13" t="s">
        <v>16</v>
      </c>
      <c r="J8" t="s">
        <v>16</v>
      </c>
      <c r="K8" t="s">
        <v>16</v>
      </c>
      <c r="L8" s="14" t="s">
        <v>16</v>
      </c>
    </row>
    <row r="9" spans="1:12" ht="15.75" customHeight="1">
      <c r="A9" s="11" t="s">
        <v>17</v>
      </c>
      <c r="B9" t="s">
        <v>30</v>
      </c>
      <c r="C9" s="12" t="s">
        <v>31</v>
      </c>
      <c r="D9" t="s">
        <v>13</v>
      </c>
      <c r="E9" t="s">
        <v>14</v>
      </c>
      <c r="F9" t="s">
        <v>15</v>
      </c>
      <c r="G9" s="13" t="s">
        <v>16</v>
      </c>
      <c r="H9" s="13" t="s">
        <v>16</v>
      </c>
      <c r="I9" s="13" t="s">
        <v>16</v>
      </c>
      <c r="J9" t="s">
        <v>16</v>
      </c>
      <c r="K9" t="s">
        <v>16</v>
      </c>
      <c r="L9" s="14" t="s">
        <v>16</v>
      </c>
    </row>
    <row r="10" spans="1:12" ht="15.75" customHeight="1">
      <c r="A10" s="11" t="s">
        <v>17</v>
      </c>
      <c r="B10" t="s">
        <v>33</v>
      </c>
      <c r="C10" s="12" t="s">
        <v>34</v>
      </c>
      <c r="D10" t="s">
        <v>13</v>
      </c>
      <c r="E10" t="s">
        <v>14</v>
      </c>
      <c r="F10" t="s">
        <v>15</v>
      </c>
      <c r="G10" s="13" t="s">
        <v>16</v>
      </c>
      <c r="H10" s="13" t="s">
        <v>16</v>
      </c>
      <c r="I10" s="13" t="s">
        <v>16</v>
      </c>
      <c r="J10" t="s">
        <v>16</v>
      </c>
      <c r="K10" t="s">
        <v>16</v>
      </c>
      <c r="L10" s="14" t="s">
        <v>16</v>
      </c>
    </row>
    <row r="11" spans="1:12" ht="15.75" customHeight="1">
      <c r="A11" s="11" t="s">
        <v>17</v>
      </c>
      <c r="B11" t="s">
        <v>36</v>
      </c>
      <c r="C11" s="12" t="s">
        <v>37</v>
      </c>
      <c r="D11" t="s">
        <v>13</v>
      </c>
      <c r="E11" t="s">
        <v>14</v>
      </c>
      <c r="F11" t="s">
        <v>15</v>
      </c>
      <c r="G11" s="13" t="s">
        <v>16</v>
      </c>
      <c r="H11" s="13" t="s">
        <v>16</v>
      </c>
      <c r="I11" s="13" t="s">
        <v>16</v>
      </c>
      <c r="J11" t="s">
        <v>16</v>
      </c>
      <c r="K11" t="s">
        <v>16</v>
      </c>
      <c r="L11" s="14" t="s">
        <v>16</v>
      </c>
    </row>
    <row r="12" spans="1:12" ht="15.75" customHeight="1">
      <c r="A12" s="11" t="s">
        <v>17</v>
      </c>
      <c r="B12" t="s">
        <v>38</v>
      </c>
      <c r="C12" s="12" t="s">
        <v>42</v>
      </c>
      <c r="D12" t="s">
        <v>13</v>
      </c>
      <c r="E12" t="s">
        <v>14</v>
      </c>
      <c r="F12" t="s">
        <v>15</v>
      </c>
      <c r="G12" s="13" t="s">
        <v>16</v>
      </c>
      <c r="H12" s="13" t="s">
        <v>16</v>
      </c>
      <c r="I12" s="13" t="s">
        <v>16</v>
      </c>
      <c r="J12" t="s">
        <v>16</v>
      </c>
      <c r="K12" t="s">
        <v>16</v>
      </c>
      <c r="L12" s="14" t="s">
        <v>16</v>
      </c>
    </row>
    <row r="13" spans="1:12" ht="15.75" customHeight="1">
      <c r="A13" s="11" t="s">
        <v>17</v>
      </c>
      <c r="B13" t="s">
        <v>49</v>
      </c>
      <c r="C13" s="12" t="s">
        <v>51</v>
      </c>
      <c r="D13" t="s">
        <v>13</v>
      </c>
      <c r="E13" t="s">
        <v>14</v>
      </c>
      <c r="F13" t="s">
        <v>15</v>
      </c>
      <c r="G13" s="13" t="s">
        <v>16</v>
      </c>
      <c r="H13" s="13" t="s">
        <v>16</v>
      </c>
      <c r="I13" s="13" t="s">
        <v>16</v>
      </c>
      <c r="J13" t="s">
        <v>16</v>
      </c>
      <c r="K13" t="s">
        <v>16</v>
      </c>
      <c r="L13" s="14" t="s">
        <v>16</v>
      </c>
    </row>
    <row r="14" spans="1:12" ht="15.75" customHeight="1">
      <c r="A14" s="11" t="s">
        <v>17</v>
      </c>
      <c r="B14" t="s">
        <v>64</v>
      </c>
      <c r="C14" s="12" t="s">
        <v>65</v>
      </c>
      <c r="D14" t="s">
        <v>13</v>
      </c>
      <c r="E14" t="s">
        <v>14</v>
      </c>
      <c r="F14" t="s">
        <v>15</v>
      </c>
      <c r="G14" s="13" t="s">
        <v>16</v>
      </c>
      <c r="H14" s="13" t="s">
        <v>16</v>
      </c>
      <c r="I14" s="13" t="s">
        <v>16</v>
      </c>
      <c r="J14" t="s">
        <v>16</v>
      </c>
      <c r="K14" t="s">
        <v>16</v>
      </c>
      <c r="L14" s="14" t="s">
        <v>16</v>
      </c>
    </row>
    <row r="15" spans="1:12" ht="15.75" customHeight="1">
      <c r="A15" s="11" t="s">
        <v>17</v>
      </c>
      <c r="B15" t="s">
        <v>66</v>
      </c>
      <c r="C15" s="12" t="s">
        <v>67</v>
      </c>
      <c r="D15" t="s">
        <v>13</v>
      </c>
      <c r="E15" t="s">
        <v>14</v>
      </c>
      <c r="F15" t="s">
        <v>15</v>
      </c>
      <c r="G15" s="13" t="s">
        <v>16</v>
      </c>
      <c r="H15" s="13" t="s">
        <v>16</v>
      </c>
      <c r="I15" s="13" t="s">
        <v>16</v>
      </c>
      <c r="J15" t="s">
        <v>16</v>
      </c>
      <c r="K15" t="s">
        <v>16</v>
      </c>
      <c r="L15" s="14" t="s">
        <v>16</v>
      </c>
    </row>
    <row r="16" spans="1:12" ht="15.75" customHeight="1">
      <c r="A16" s="11" t="s">
        <v>17</v>
      </c>
      <c r="B16" t="s">
        <v>68</v>
      </c>
      <c r="C16" s="12" t="s">
        <v>69</v>
      </c>
      <c r="D16" t="s">
        <v>13</v>
      </c>
      <c r="E16" t="s">
        <v>14</v>
      </c>
      <c r="F16" t="s">
        <v>15</v>
      </c>
      <c r="G16" s="13" t="s">
        <v>16</v>
      </c>
      <c r="H16" s="13" t="s">
        <v>16</v>
      </c>
      <c r="I16" s="13" t="s">
        <v>16</v>
      </c>
      <c r="J16" t="s">
        <v>16</v>
      </c>
      <c r="K16" t="s">
        <v>16</v>
      </c>
      <c r="L16" s="14" t="s">
        <v>16</v>
      </c>
    </row>
    <row r="17" spans="1:12" ht="15.75" customHeight="1">
      <c r="A17" s="11" t="s">
        <v>17</v>
      </c>
      <c r="B17" t="s">
        <v>70</v>
      </c>
      <c r="C17" s="12" t="s">
        <v>71</v>
      </c>
      <c r="D17" t="s">
        <v>13</v>
      </c>
      <c r="E17" t="s">
        <v>14</v>
      </c>
      <c r="F17" t="s">
        <v>15</v>
      </c>
      <c r="G17" s="13" t="s">
        <v>16</v>
      </c>
      <c r="H17" s="13" t="s">
        <v>16</v>
      </c>
      <c r="I17" s="13" t="s">
        <v>16</v>
      </c>
      <c r="J17" t="s">
        <v>16</v>
      </c>
      <c r="K17" t="s">
        <v>16</v>
      </c>
      <c r="L17" s="14" t="s">
        <v>16</v>
      </c>
    </row>
    <row r="18" spans="1:12" ht="15.75" customHeight="1">
      <c r="A18" s="11" t="s">
        <v>17</v>
      </c>
      <c r="B18" t="s">
        <v>72</v>
      </c>
      <c r="C18" s="12" t="s">
        <v>73</v>
      </c>
      <c r="D18" t="s">
        <v>13</v>
      </c>
      <c r="E18" t="s">
        <v>14</v>
      </c>
      <c r="F18" t="s">
        <v>15</v>
      </c>
      <c r="G18" s="13" t="s">
        <v>16</v>
      </c>
      <c r="H18" s="13" t="s">
        <v>16</v>
      </c>
      <c r="I18" s="13" t="s">
        <v>16</v>
      </c>
      <c r="J18" t="s">
        <v>16</v>
      </c>
      <c r="K18" t="s">
        <v>16</v>
      </c>
      <c r="L18" s="14" t="s">
        <v>16</v>
      </c>
    </row>
    <row r="19" spans="1:12" ht="15.75" customHeight="1">
      <c r="A19" s="11" t="s">
        <v>17</v>
      </c>
      <c r="B19" t="s">
        <v>74</v>
      </c>
      <c r="C19" s="12" t="s">
        <v>75</v>
      </c>
      <c r="D19" t="s">
        <v>58</v>
      </c>
      <c r="E19" t="s">
        <v>14</v>
      </c>
      <c r="F19" t="s">
        <v>15</v>
      </c>
      <c r="G19" s="13" t="s">
        <v>16</v>
      </c>
      <c r="H19" s="13" t="s">
        <v>16</v>
      </c>
      <c r="I19" s="13" t="s">
        <v>16</v>
      </c>
      <c r="J19" t="s">
        <v>16</v>
      </c>
      <c r="K19" t="s">
        <v>16</v>
      </c>
      <c r="L19" s="14" t="s">
        <v>16</v>
      </c>
    </row>
    <row r="20" spans="1:12" ht="15.75" customHeight="1">
      <c r="A20" s="11" t="s">
        <v>17</v>
      </c>
      <c r="B20" t="s">
        <v>76</v>
      </c>
      <c r="C20" s="12" t="s">
        <v>77</v>
      </c>
      <c r="D20" t="s">
        <v>58</v>
      </c>
      <c r="E20" t="s">
        <v>14</v>
      </c>
      <c r="F20" t="s">
        <v>15</v>
      </c>
      <c r="G20" s="13" t="s">
        <v>16</v>
      </c>
      <c r="H20" s="13" t="s">
        <v>16</v>
      </c>
      <c r="I20" s="13" t="s">
        <v>16</v>
      </c>
      <c r="J20" t="s">
        <v>16</v>
      </c>
      <c r="K20" t="s">
        <v>16</v>
      </c>
      <c r="L20" s="14" t="s">
        <v>16</v>
      </c>
    </row>
    <row r="21" spans="1:12" ht="15.75" customHeight="1">
      <c r="A21" s="11" t="s">
        <v>17</v>
      </c>
      <c r="B21" t="s">
        <v>78</v>
      </c>
      <c r="C21" s="12" t="s">
        <v>79</v>
      </c>
      <c r="D21" t="s">
        <v>50</v>
      </c>
      <c r="E21" t="s">
        <v>14</v>
      </c>
      <c r="F21" t="s">
        <v>15</v>
      </c>
      <c r="G21" s="13" t="s">
        <v>16</v>
      </c>
      <c r="H21" s="13" t="s">
        <v>16</v>
      </c>
      <c r="I21" s="13" t="s">
        <v>16</v>
      </c>
      <c r="J21" t="s">
        <v>16</v>
      </c>
      <c r="K21" t="s">
        <v>16</v>
      </c>
      <c r="L21" s="14" t="s">
        <v>16</v>
      </c>
    </row>
    <row r="22" spans="1:12" ht="15.75" customHeight="1">
      <c r="A22" s="11" t="s">
        <v>17</v>
      </c>
      <c r="B22" t="s">
        <v>80</v>
      </c>
      <c r="C22" s="12" t="s">
        <v>81</v>
      </c>
      <c r="D22" t="s">
        <v>50</v>
      </c>
      <c r="E22" t="s">
        <v>14</v>
      </c>
      <c r="F22" t="s">
        <v>15</v>
      </c>
      <c r="G22" s="13" t="s">
        <v>16</v>
      </c>
      <c r="H22" s="13" t="s">
        <v>16</v>
      </c>
      <c r="I22" s="13" t="s">
        <v>16</v>
      </c>
      <c r="J22" t="s">
        <v>16</v>
      </c>
      <c r="K22" t="s">
        <v>16</v>
      </c>
      <c r="L22" s="14" t="s">
        <v>16</v>
      </c>
    </row>
    <row r="23" spans="1:12" ht="15.75" customHeight="1">
      <c r="A23" s="11" t="s">
        <v>17</v>
      </c>
      <c r="B23" t="s">
        <v>86</v>
      </c>
      <c r="C23" s="12" t="s">
        <v>88</v>
      </c>
      <c r="D23" t="s">
        <v>50</v>
      </c>
      <c r="E23" t="s">
        <v>14</v>
      </c>
      <c r="F23" t="s">
        <v>15</v>
      </c>
      <c r="G23" s="13" t="s">
        <v>16</v>
      </c>
      <c r="H23" s="13" t="s">
        <v>16</v>
      </c>
      <c r="I23" s="13" t="s">
        <v>16</v>
      </c>
      <c r="J23" t="s">
        <v>16</v>
      </c>
      <c r="K23" t="s">
        <v>16</v>
      </c>
      <c r="L23" s="14" t="s">
        <v>16</v>
      </c>
    </row>
    <row r="24" spans="1:12" ht="15.75" customHeight="1">
      <c r="A24" s="11" t="s">
        <v>17</v>
      </c>
      <c r="B24" t="s">
        <v>90</v>
      </c>
      <c r="C24" s="12" t="s">
        <v>91</v>
      </c>
      <c r="D24" t="s">
        <v>50</v>
      </c>
      <c r="E24" t="s">
        <v>14</v>
      </c>
      <c r="F24" t="s">
        <v>15</v>
      </c>
      <c r="G24" s="13" t="s">
        <v>16</v>
      </c>
      <c r="H24" s="13" t="s">
        <v>16</v>
      </c>
      <c r="I24" s="13" t="s">
        <v>16</v>
      </c>
      <c r="J24" t="s">
        <v>16</v>
      </c>
      <c r="K24" t="s">
        <v>16</v>
      </c>
      <c r="L24" s="14" t="s">
        <v>16</v>
      </c>
    </row>
    <row r="25" spans="1:12" ht="15.75" customHeight="1">
      <c r="A25" s="11" t="s">
        <v>17</v>
      </c>
      <c r="B25" t="s">
        <v>92</v>
      </c>
      <c r="C25" s="12" t="s">
        <v>93</v>
      </c>
      <c r="D25" t="s">
        <v>48</v>
      </c>
      <c r="E25" t="s">
        <v>14</v>
      </c>
      <c r="F25" t="s">
        <v>15</v>
      </c>
      <c r="G25" s="13" t="s">
        <v>16</v>
      </c>
      <c r="H25" s="13" t="s">
        <v>16</v>
      </c>
      <c r="I25" s="13" t="s">
        <v>16</v>
      </c>
      <c r="J25" t="s">
        <v>16</v>
      </c>
      <c r="K25" t="s">
        <v>16</v>
      </c>
      <c r="L25" s="14" t="s">
        <v>16</v>
      </c>
    </row>
    <row r="26" spans="1:12" ht="15.75" customHeight="1">
      <c r="A26" s="11" t="s">
        <v>17</v>
      </c>
      <c r="B26" t="s">
        <v>94</v>
      </c>
      <c r="C26" s="12" t="s">
        <v>95</v>
      </c>
      <c r="D26" t="s">
        <v>48</v>
      </c>
      <c r="E26" t="s">
        <v>14</v>
      </c>
      <c r="F26" t="s">
        <v>15</v>
      </c>
      <c r="G26" s="13" t="s">
        <v>16</v>
      </c>
      <c r="H26" s="13" t="s">
        <v>16</v>
      </c>
      <c r="I26" s="13" t="s">
        <v>16</v>
      </c>
      <c r="J26" t="s">
        <v>16</v>
      </c>
      <c r="K26" t="s">
        <v>16</v>
      </c>
      <c r="L26" s="14" t="s">
        <v>16</v>
      </c>
    </row>
    <row r="27" spans="1:12" ht="15.75" customHeight="1">
      <c r="A27" s="11" t="s">
        <v>17</v>
      </c>
      <c r="B27" t="s">
        <v>96</v>
      </c>
      <c r="C27" s="12" t="s">
        <v>97</v>
      </c>
      <c r="D27" t="s">
        <v>48</v>
      </c>
      <c r="E27" t="s">
        <v>14</v>
      </c>
      <c r="F27" t="s">
        <v>15</v>
      </c>
      <c r="G27" s="13" t="s">
        <v>16</v>
      </c>
      <c r="H27" s="13" t="s">
        <v>16</v>
      </c>
      <c r="I27" s="13" t="s">
        <v>16</v>
      </c>
      <c r="J27" t="s">
        <v>16</v>
      </c>
      <c r="K27" t="s">
        <v>16</v>
      </c>
      <c r="L27" s="14" t="s">
        <v>16</v>
      </c>
    </row>
    <row r="28" spans="1:12" ht="15.75" customHeight="1">
      <c r="A28" s="11" t="s">
        <v>17</v>
      </c>
      <c r="B28" t="s">
        <v>98</v>
      </c>
      <c r="C28" s="12" t="s">
        <v>97</v>
      </c>
      <c r="D28" t="s">
        <v>48</v>
      </c>
      <c r="E28" t="s">
        <v>14</v>
      </c>
      <c r="F28" t="s">
        <v>15</v>
      </c>
      <c r="G28" s="13" t="s">
        <v>16</v>
      </c>
      <c r="H28" s="13" t="s">
        <v>16</v>
      </c>
      <c r="I28" s="13" t="s">
        <v>16</v>
      </c>
      <c r="J28" t="s">
        <v>16</v>
      </c>
      <c r="K28" t="s">
        <v>16</v>
      </c>
      <c r="L28" s="14" t="s">
        <v>16</v>
      </c>
    </row>
    <row r="29" spans="1:12" ht="15.75" customHeight="1">
      <c r="A29" s="11" t="s">
        <v>17</v>
      </c>
      <c r="B29" t="s">
        <v>99</v>
      </c>
      <c r="C29" s="12" t="s">
        <v>97</v>
      </c>
      <c r="D29" t="s">
        <v>48</v>
      </c>
      <c r="E29" t="s">
        <v>14</v>
      </c>
      <c r="F29" t="s">
        <v>15</v>
      </c>
      <c r="G29" s="13" t="s">
        <v>16</v>
      </c>
      <c r="H29" s="13" t="s">
        <v>16</v>
      </c>
      <c r="I29" s="13" t="s">
        <v>16</v>
      </c>
      <c r="J29" t="s">
        <v>16</v>
      </c>
      <c r="K29" t="s">
        <v>16</v>
      </c>
      <c r="L29" s="14" t="s">
        <v>16</v>
      </c>
    </row>
    <row r="30" spans="1:12" ht="15.75" customHeight="1">
      <c r="A30" s="11" t="s">
        <v>17</v>
      </c>
      <c r="B30" t="s">
        <v>100</v>
      </c>
      <c r="C30" s="12" t="s">
        <v>101</v>
      </c>
      <c r="D30" t="s">
        <v>48</v>
      </c>
      <c r="E30" t="s">
        <v>14</v>
      </c>
      <c r="F30" t="s">
        <v>15</v>
      </c>
      <c r="G30" s="13" t="s">
        <v>16</v>
      </c>
      <c r="H30" s="13" t="s">
        <v>16</v>
      </c>
      <c r="I30" s="13" t="s">
        <v>16</v>
      </c>
      <c r="J30" t="s">
        <v>16</v>
      </c>
      <c r="K30" t="s">
        <v>16</v>
      </c>
      <c r="L30" s="14" t="s">
        <v>16</v>
      </c>
    </row>
    <row r="31" spans="1:12" ht="15.75" customHeight="1">
      <c r="A31" s="11" t="s">
        <v>17</v>
      </c>
      <c r="B31" t="s">
        <v>102</v>
      </c>
      <c r="C31" s="12" t="s">
        <v>103</v>
      </c>
      <c r="D31" t="s">
        <v>48</v>
      </c>
      <c r="E31" t="s">
        <v>14</v>
      </c>
      <c r="F31" t="s">
        <v>15</v>
      </c>
      <c r="G31" s="13" t="s">
        <v>16</v>
      </c>
      <c r="H31" s="13" t="s">
        <v>16</v>
      </c>
      <c r="I31" s="13" t="s">
        <v>16</v>
      </c>
      <c r="J31" t="s">
        <v>16</v>
      </c>
      <c r="K31" t="s">
        <v>16</v>
      </c>
      <c r="L31" s="14" t="s">
        <v>16</v>
      </c>
    </row>
    <row r="32" spans="1:12" ht="12.75">
      <c r="A32" s="11" t="s">
        <v>17</v>
      </c>
      <c r="B32" t="s">
        <v>104</v>
      </c>
      <c r="C32" s="12" t="s">
        <v>105</v>
      </c>
      <c r="D32" t="s">
        <v>48</v>
      </c>
      <c r="E32" t="s">
        <v>14</v>
      </c>
      <c r="F32" t="s">
        <v>15</v>
      </c>
      <c r="G32" s="13" t="s">
        <v>16</v>
      </c>
      <c r="H32" s="13" t="s">
        <v>16</v>
      </c>
      <c r="I32" s="13" t="s">
        <v>16</v>
      </c>
      <c r="J32" t="s">
        <v>16</v>
      </c>
      <c r="K32" t="s">
        <v>16</v>
      </c>
      <c r="L32" s="14" t="s">
        <v>16</v>
      </c>
    </row>
    <row r="33" spans="1:12" ht="12.75">
      <c r="A33" s="11" t="s">
        <v>17</v>
      </c>
      <c r="B33" t="s">
        <v>106</v>
      </c>
      <c r="C33" s="12" t="s">
        <v>107</v>
      </c>
      <c r="D33" t="s">
        <v>48</v>
      </c>
      <c r="E33" t="s">
        <v>14</v>
      </c>
      <c r="F33" t="s">
        <v>15</v>
      </c>
      <c r="G33" s="13" t="s">
        <v>16</v>
      </c>
      <c r="H33" s="13" t="s">
        <v>16</v>
      </c>
      <c r="I33" s="13" t="s">
        <v>16</v>
      </c>
      <c r="J33" t="s">
        <v>16</v>
      </c>
      <c r="K33" t="s">
        <v>16</v>
      </c>
      <c r="L33" s="14" t="s">
        <v>16</v>
      </c>
    </row>
    <row r="34" spans="1:12" ht="12.75">
      <c r="A34" s="11" t="s">
        <v>17</v>
      </c>
      <c r="B34" t="s">
        <v>108</v>
      </c>
      <c r="C34" s="12" t="s">
        <v>109</v>
      </c>
      <c r="D34" t="s">
        <v>48</v>
      </c>
      <c r="E34" t="s">
        <v>14</v>
      </c>
      <c r="F34" t="s">
        <v>15</v>
      </c>
      <c r="G34" s="13" t="s">
        <v>16</v>
      </c>
      <c r="H34" s="13" t="s">
        <v>16</v>
      </c>
      <c r="I34" s="13" t="s">
        <v>16</v>
      </c>
      <c r="J34" t="s">
        <v>16</v>
      </c>
      <c r="K34" t="s">
        <v>16</v>
      </c>
      <c r="L34" s="14" t="s">
        <v>16</v>
      </c>
    </row>
    <row r="35" spans="1:12" ht="12.75">
      <c r="A35" s="11" t="s">
        <v>17</v>
      </c>
      <c r="B35" t="s">
        <v>110</v>
      </c>
      <c r="C35" s="12" t="s">
        <v>95</v>
      </c>
      <c r="D35" t="s">
        <v>48</v>
      </c>
      <c r="E35" t="s">
        <v>14</v>
      </c>
      <c r="F35" t="s">
        <v>15</v>
      </c>
      <c r="G35" s="13" t="s">
        <v>16</v>
      </c>
      <c r="H35" s="13" t="s">
        <v>16</v>
      </c>
      <c r="I35" s="13" t="s">
        <v>16</v>
      </c>
      <c r="J35" t="s">
        <v>16</v>
      </c>
      <c r="K35" t="s">
        <v>16</v>
      </c>
      <c r="L35" s="14" t="s">
        <v>16</v>
      </c>
    </row>
    <row r="36" spans="1:12" ht="12.75">
      <c r="A36" s="11" t="s">
        <v>17</v>
      </c>
      <c r="B36" t="s">
        <v>111</v>
      </c>
      <c r="C36" s="12">
        <v>17766</v>
      </c>
      <c r="D36" t="s">
        <v>55</v>
      </c>
      <c r="E36" t="s">
        <v>14</v>
      </c>
      <c r="F36" t="s">
        <v>15</v>
      </c>
      <c r="G36" s="13" t="s">
        <v>16</v>
      </c>
      <c r="H36" s="13" t="s">
        <v>16</v>
      </c>
      <c r="I36" s="13" t="s">
        <v>16</v>
      </c>
      <c r="J36" t="s">
        <v>16</v>
      </c>
      <c r="K36" t="s">
        <v>16</v>
      </c>
      <c r="L36" s="14" t="s">
        <v>16</v>
      </c>
    </row>
    <row r="37" spans="1:12" ht="12.75">
      <c r="A37" s="11" t="s">
        <v>17</v>
      </c>
      <c r="B37" t="s">
        <v>112</v>
      </c>
      <c r="C37" s="12" t="s">
        <v>113</v>
      </c>
      <c r="D37" t="s">
        <v>55</v>
      </c>
      <c r="E37" t="s">
        <v>14</v>
      </c>
      <c r="F37" t="s">
        <v>15</v>
      </c>
      <c r="G37" s="13" t="s">
        <v>16</v>
      </c>
      <c r="H37" s="13" t="s">
        <v>16</v>
      </c>
      <c r="I37" s="13" t="s">
        <v>16</v>
      </c>
      <c r="J37" t="s">
        <v>16</v>
      </c>
      <c r="K37" t="s">
        <v>16</v>
      </c>
      <c r="L37" s="14" t="s">
        <v>16</v>
      </c>
    </row>
    <row r="38" spans="1:12" ht="12.75">
      <c r="A38" s="11" t="s">
        <v>17</v>
      </c>
      <c r="B38" t="s">
        <v>114</v>
      </c>
      <c r="C38" s="12" t="s">
        <v>115</v>
      </c>
      <c r="D38" t="s">
        <v>55</v>
      </c>
      <c r="E38" t="s">
        <v>14</v>
      </c>
      <c r="F38" t="s">
        <v>15</v>
      </c>
      <c r="G38" s="13" t="s">
        <v>16</v>
      </c>
      <c r="H38" s="13" t="s">
        <v>16</v>
      </c>
      <c r="I38" s="13" t="s">
        <v>16</v>
      </c>
      <c r="J38" t="s">
        <v>16</v>
      </c>
      <c r="K38" t="s">
        <v>16</v>
      </c>
      <c r="L38" s="14" t="s">
        <v>16</v>
      </c>
    </row>
    <row r="39" spans="1:12" ht="12.75">
      <c r="A39" s="11" t="s">
        <v>17</v>
      </c>
      <c r="B39" t="s">
        <v>116</v>
      </c>
      <c r="C39" s="12" t="s">
        <v>115</v>
      </c>
      <c r="D39" t="s">
        <v>55</v>
      </c>
      <c r="E39" t="s">
        <v>14</v>
      </c>
      <c r="F39" t="s">
        <v>15</v>
      </c>
      <c r="G39" s="13" t="s">
        <v>16</v>
      </c>
      <c r="H39" s="13" t="s">
        <v>16</v>
      </c>
      <c r="I39" s="13" t="s">
        <v>16</v>
      </c>
      <c r="J39" t="s">
        <v>16</v>
      </c>
      <c r="K39" t="s">
        <v>16</v>
      </c>
      <c r="L39" s="14" t="s">
        <v>16</v>
      </c>
    </row>
    <row r="40" spans="1:12" ht="12.75">
      <c r="A40" s="11" t="s">
        <v>17</v>
      </c>
      <c r="B40" t="s">
        <v>117</v>
      </c>
      <c r="C40" s="12" t="s">
        <v>115</v>
      </c>
      <c r="D40" t="s">
        <v>55</v>
      </c>
      <c r="E40" t="s">
        <v>14</v>
      </c>
      <c r="F40" t="s">
        <v>15</v>
      </c>
      <c r="G40" s="13" t="s">
        <v>16</v>
      </c>
      <c r="H40" s="13" t="s">
        <v>16</v>
      </c>
      <c r="I40" s="13" t="s">
        <v>16</v>
      </c>
      <c r="J40" t="s">
        <v>16</v>
      </c>
      <c r="K40" t="s">
        <v>16</v>
      </c>
      <c r="L40" s="14" t="s">
        <v>16</v>
      </c>
    </row>
    <row r="41" spans="1:12" ht="12.75">
      <c r="A41" s="11" t="s">
        <v>17</v>
      </c>
      <c r="B41" t="s">
        <v>118</v>
      </c>
      <c r="C41" s="12" t="s">
        <v>115</v>
      </c>
      <c r="D41" t="s">
        <v>55</v>
      </c>
      <c r="E41" t="s">
        <v>14</v>
      </c>
      <c r="F41" t="s">
        <v>15</v>
      </c>
      <c r="G41" s="13" t="s">
        <v>16</v>
      </c>
      <c r="H41" s="13" t="s">
        <v>16</v>
      </c>
      <c r="I41" s="13" t="s">
        <v>16</v>
      </c>
      <c r="J41" t="s">
        <v>16</v>
      </c>
      <c r="K41" t="s">
        <v>16</v>
      </c>
      <c r="L41" s="14" t="s">
        <v>16</v>
      </c>
    </row>
    <row r="42" spans="1:12" ht="12.75">
      <c r="A42" s="11" t="s">
        <v>17</v>
      </c>
      <c r="B42" t="s">
        <v>119</v>
      </c>
      <c r="C42" s="12" t="s">
        <v>120</v>
      </c>
      <c r="D42" t="s">
        <v>55</v>
      </c>
      <c r="E42" t="s">
        <v>14</v>
      </c>
      <c r="F42" t="s">
        <v>15</v>
      </c>
      <c r="G42" s="13" t="s">
        <v>16</v>
      </c>
      <c r="H42" s="13" t="s">
        <v>16</v>
      </c>
      <c r="I42" s="13" t="s">
        <v>16</v>
      </c>
      <c r="J42" t="s">
        <v>16</v>
      </c>
      <c r="K42" t="s">
        <v>16</v>
      </c>
      <c r="L42" s="14" t="s">
        <v>16</v>
      </c>
    </row>
    <row r="43" spans="1:12" ht="12.75">
      <c r="A43" s="11" t="s">
        <v>17</v>
      </c>
      <c r="B43" t="s">
        <v>121</v>
      </c>
      <c r="C43" s="12">
        <v>17347</v>
      </c>
      <c r="D43" t="s">
        <v>60</v>
      </c>
      <c r="E43" t="s">
        <v>14</v>
      </c>
      <c r="F43" t="s">
        <v>15</v>
      </c>
      <c r="G43" s="13" t="s">
        <v>16</v>
      </c>
      <c r="H43" s="13" t="s">
        <v>16</v>
      </c>
      <c r="I43" s="13" t="s">
        <v>16</v>
      </c>
      <c r="J43" t="s">
        <v>16</v>
      </c>
      <c r="K43" t="s">
        <v>16</v>
      </c>
      <c r="L43" s="14" t="s">
        <v>16</v>
      </c>
    </row>
    <row r="44" spans="1:12" ht="12.75">
      <c r="A44" s="11" t="s">
        <v>17</v>
      </c>
      <c r="B44" t="s">
        <v>122</v>
      </c>
      <c r="C44" s="12" t="s">
        <v>123</v>
      </c>
      <c r="D44" t="s">
        <v>60</v>
      </c>
      <c r="E44" t="s">
        <v>14</v>
      </c>
      <c r="F44" t="s">
        <v>15</v>
      </c>
      <c r="G44" s="13" t="s">
        <v>16</v>
      </c>
      <c r="H44" s="13" t="s">
        <v>16</v>
      </c>
      <c r="I44" s="13" t="s">
        <v>16</v>
      </c>
      <c r="J44" t="s">
        <v>16</v>
      </c>
      <c r="K44" t="s">
        <v>16</v>
      </c>
      <c r="L44" s="14" t="s">
        <v>16</v>
      </c>
    </row>
    <row r="45" spans="1:12" ht="12.75">
      <c r="A45" s="11" t="s">
        <v>17</v>
      </c>
      <c r="B45" t="s">
        <v>124</v>
      </c>
      <c r="C45" s="12" t="s">
        <v>125</v>
      </c>
      <c r="D45" t="s">
        <v>60</v>
      </c>
      <c r="E45" t="s">
        <v>14</v>
      </c>
      <c r="F45" t="s">
        <v>15</v>
      </c>
      <c r="G45" s="13" t="s">
        <v>16</v>
      </c>
      <c r="H45" s="13" t="s">
        <v>16</v>
      </c>
      <c r="I45" s="13" t="s">
        <v>16</v>
      </c>
      <c r="J45" t="s">
        <v>16</v>
      </c>
      <c r="K45" t="s">
        <v>16</v>
      </c>
      <c r="L45" s="14" t="s">
        <v>16</v>
      </c>
    </row>
    <row r="46" spans="1:12" ht="12.75">
      <c r="A46" s="11" t="s">
        <v>17</v>
      </c>
      <c r="B46" t="s">
        <v>126</v>
      </c>
      <c r="C46" s="12" t="s">
        <v>127</v>
      </c>
      <c r="D46" t="s">
        <v>60</v>
      </c>
      <c r="E46" t="s">
        <v>14</v>
      </c>
      <c r="F46" t="s">
        <v>15</v>
      </c>
      <c r="G46" s="13" t="s">
        <v>16</v>
      </c>
      <c r="H46" s="13" t="s">
        <v>16</v>
      </c>
      <c r="I46" s="13" t="s">
        <v>16</v>
      </c>
      <c r="J46" t="s">
        <v>16</v>
      </c>
      <c r="K46" t="s">
        <v>16</v>
      </c>
      <c r="L46" s="14" t="s">
        <v>16</v>
      </c>
    </row>
    <row r="47" spans="1:12" ht="12.75">
      <c r="A47" s="11" t="s">
        <v>17</v>
      </c>
      <c r="B47" t="s">
        <v>128</v>
      </c>
      <c r="C47" s="12" t="s">
        <v>127</v>
      </c>
      <c r="D47" t="s">
        <v>60</v>
      </c>
      <c r="E47" t="s">
        <v>14</v>
      </c>
      <c r="F47" t="s">
        <v>15</v>
      </c>
      <c r="G47" s="13" t="s">
        <v>16</v>
      </c>
      <c r="H47" s="13" t="s">
        <v>16</v>
      </c>
      <c r="I47" s="13" t="s">
        <v>16</v>
      </c>
      <c r="J47" t="s">
        <v>16</v>
      </c>
      <c r="K47" t="s">
        <v>16</v>
      </c>
      <c r="L47" s="14" t="s">
        <v>16</v>
      </c>
    </row>
    <row r="48" spans="1:12" ht="12.75">
      <c r="A48" s="11" t="s">
        <v>17</v>
      </c>
      <c r="B48" t="s">
        <v>129</v>
      </c>
      <c r="C48" s="12" t="s">
        <v>127</v>
      </c>
      <c r="D48" t="s">
        <v>60</v>
      </c>
      <c r="E48" t="s">
        <v>14</v>
      </c>
      <c r="F48" t="s">
        <v>15</v>
      </c>
      <c r="G48" s="13" t="s">
        <v>16</v>
      </c>
      <c r="H48" s="13" t="s">
        <v>16</v>
      </c>
      <c r="I48" s="13" t="s">
        <v>16</v>
      </c>
      <c r="J48" t="s">
        <v>16</v>
      </c>
      <c r="K48" t="s">
        <v>16</v>
      </c>
      <c r="L48" s="14" t="s">
        <v>16</v>
      </c>
    </row>
    <row r="49" spans="1:12" ht="12.75">
      <c r="A49" s="11" t="s">
        <v>17</v>
      </c>
      <c r="B49" t="s">
        <v>130</v>
      </c>
      <c r="C49" s="12" t="s">
        <v>131</v>
      </c>
      <c r="D49" t="s">
        <v>60</v>
      </c>
      <c r="E49" t="s">
        <v>14</v>
      </c>
      <c r="F49" t="s">
        <v>15</v>
      </c>
      <c r="G49" s="13" t="s">
        <v>16</v>
      </c>
      <c r="H49" s="13" t="s">
        <v>16</v>
      </c>
      <c r="I49" s="13" t="s">
        <v>16</v>
      </c>
      <c r="J49" t="s">
        <v>16</v>
      </c>
      <c r="K49" t="s">
        <v>16</v>
      </c>
      <c r="L49" s="14" t="s">
        <v>16</v>
      </c>
    </row>
    <row r="50" spans="1:12" ht="12.75">
      <c r="A50" s="11" t="s">
        <v>17</v>
      </c>
      <c r="B50" t="s">
        <v>132</v>
      </c>
      <c r="C50" s="12" t="s">
        <v>127</v>
      </c>
      <c r="D50" t="s">
        <v>60</v>
      </c>
      <c r="E50" t="s">
        <v>14</v>
      </c>
      <c r="F50" t="s">
        <v>15</v>
      </c>
      <c r="G50" s="13" t="s">
        <v>16</v>
      </c>
      <c r="H50" s="13" t="s">
        <v>16</v>
      </c>
      <c r="I50" s="13" t="s">
        <v>16</v>
      </c>
      <c r="J50" t="s">
        <v>16</v>
      </c>
      <c r="K50" t="s">
        <v>16</v>
      </c>
      <c r="L50" s="14" t="s">
        <v>16</v>
      </c>
    </row>
    <row r="51" spans="1:12" ht="12.75">
      <c r="A51" s="11" t="s">
        <v>17</v>
      </c>
      <c r="B51" t="s">
        <v>133</v>
      </c>
      <c r="C51" s="12" t="s">
        <v>127</v>
      </c>
      <c r="D51" t="s">
        <v>60</v>
      </c>
      <c r="E51" t="s">
        <v>14</v>
      </c>
      <c r="F51" t="s">
        <v>15</v>
      </c>
      <c r="G51" s="13" t="s">
        <v>16</v>
      </c>
      <c r="H51" s="13" t="s">
        <v>16</v>
      </c>
      <c r="I51" s="13" t="s">
        <v>16</v>
      </c>
      <c r="J51" t="s">
        <v>16</v>
      </c>
      <c r="K51" t="s">
        <v>16</v>
      </c>
      <c r="L51" s="14" t="s">
        <v>16</v>
      </c>
    </row>
    <row r="52" spans="1:12" ht="12.75">
      <c r="A52" s="11" t="s">
        <v>17</v>
      </c>
      <c r="B52" t="s">
        <v>134</v>
      </c>
      <c r="C52" s="12" t="s">
        <v>127</v>
      </c>
      <c r="D52" t="s">
        <v>60</v>
      </c>
      <c r="E52" t="s">
        <v>14</v>
      </c>
      <c r="F52" t="s">
        <v>15</v>
      </c>
      <c r="G52" s="13" t="s">
        <v>16</v>
      </c>
      <c r="H52" s="13" t="s">
        <v>16</v>
      </c>
      <c r="I52" s="13" t="s">
        <v>16</v>
      </c>
      <c r="J52" t="s">
        <v>16</v>
      </c>
      <c r="K52" t="s">
        <v>16</v>
      </c>
      <c r="L52" s="14" t="s">
        <v>16</v>
      </c>
    </row>
    <row r="53" spans="1:12" ht="12.75">
      <c r="A53" s="11" t="s">
        <v>17</v>
      </c>
      <c r="B53" t="s">
        <v>135</v>
      </c>
      <c r="C53" s="12" t="s">
        <v>127</v>
      </c>
      <c r="D53" t="s">
        <v>60</v>
      </c>
      <c r="E53" t="s">
        <v>14</v>
      </c>
      <c r="F53" t="s">
        <v>15</v>
      </c>
      <c r="G53" s="13" t="s">
        <v>16</v>
      </c>
      <c r="H53" s="13" t="s">
        <v>16</v>
      </c>
      <c r="I53" s="13" t="s">
        <v>16</v>
      </c>
      <c r="J53" t="s">
        <v>16</v>
      </c>
      <c r="K53" t="s">
        <v>16</v>
      </c>
      <c r="L53" s="14" t="s">
        <v>16</v>
      </c>
    </row>
    <row r="54" spans="1:12" ht="12.75">
      <c r="A54" s="11" t="s">
        <v>17</v>
      </c>
      <c r="B54" t="s">
        <v>136</v>
      </c>
      <c r="C54" s="12" t="s">
        <v>137</v>
      </c>
      <c r="D54" t="s">
        <v>60</v>
      </c>
      <c r="E54" t="s">
        <v>14</v>
      </c>
      <c r="F54" t="s">
        <v>15</v>
      </c>
      <c r="G54" s="13" t="s">
        <v>16</v>
      </c>
      <c r="H54" s="13" t="s">
        <v>16</v>
      </c>
      <c r="I54" s="13" t="s">
        <v>16</v>
      </c>
      <c r="J54" t="s">
        <v>16</v>
      </c>
      <c r="K54" t="s">
        <v>16</v>
      </c>
      <c r="L54" s="14" t="s">
        <v>16</v>
      </c>
    </row>
    <row r="55" spans="1:12" ht="12.75">
      <c r="A55" s="11" t="s">
        <v>17</v>
      </c>
      <c r="B55" t="s">
        <v>138</v>
      </c>
      <c r="C55" s="12" t="s">
        <v>137</v>
      </c>
      <c r="D55" t="s">
        <v>60</v>
      </c>
      <c r="E55" t="s">
        <v>14</v>
      </c>
      <c r="F55" t="s">
        <v>15</v>
      </c>
      <c r="G55" s="13" t="s">
        <v>16</v>
      </c>
      <c r="H55" s="13" t="s">
        <v>16</v>
      </c>
      <c r="I55" s="13" t="s">
        <v>16</v>
      </c>
      <c r="J55" t="s">
        <v>16</v>
      </c>
      <c r="K55" t="s">
        <v>16</v>
      </c>
      <c r="L55" s="14" t="s">
        <v>16</v>
      </c>
    </row>
    <row r="56" spans="1:12" ht="12.75">
      <c r="A56" s="11" t="s">
        <v>17</v>
      </c>
      <c r="B56" t="s">
        <v>139</v>
      </c>
      <c r="C56" s="12" t="s">
        <v>137</v>
      </c>
      <c r="D56" t="s">
        <v>60</v>
      </c>
      <c r="E56" t="s">
        <v>14</v>
      </c>
      <c r="F56" t="s">
        <v>15</v>
      </c>
      <c r="G56" s="13" t="s">
        <v>16</v>
      </c>
      <c r="H56" s="13" t="s">
        <v>16</v>
      </c>
      <c r="I56" s="13" t="s">
        <v>16</v>
      </c>
      <c r="J56" t="s">
        <v>16</v>
      </c>
      <c r="K56" t="s">
        <v>16</v>
      </c>
      <c r="L56" s="14" t="s">
        <v>16</v>
      </c>
    </row>
    <row r="57" spans="1:12" ht="12.75">
      <c r="A57" s="11" t="s">
        <v>17</v>
      </c>
      <c r="B57" t="s">
        <v>140</v>
      </c>
      <c r="C57" s="12" t="s">
        <v>141</v>
      </c>
      <c r="D57" t="s">
        <v>60</v>
      </c>
      <c r="E57" t="s">
        <v>14</v>
      </c>
      <c r="F57" t="s">
        <v>15</v>
      </c>
      <c r="G57" s="13" t="s">
        <v>16</v>
      </c>
      <c r="H57" s="13" t="s">
        <v>16</v>
      </c>
      <c r="I57" s="13" t="s">
        <v>16</v>
      </c>
      <c r="J57" t="s">
        <v>16</v>
      </c>
      <c r="K57" t="s">
        <v>16</v>
      </c>
      <c r="L57" s="14" t="s">
        <v>16</v>
      </c>
    </row>
    <row r="58" spans="1:12" ht="12.75">
      <c r="A58" s="11" t="s">
        <v>17</v>
      </c>
      <c r="B58" t="s">
        <v>142</v>
      </c>
      <c r="C58" s="12" t="s">
        <v>143</v>
      </c>
      <c r="D58" t="s">
        <v>60</v>
      </c>
      <c r="E58" t="s">
        <v>14</v>
      </c>
      <c r="F58" t="s">
        <v>15</v>
      </c>
      <c r="G58" s="13" t="s">
        <v>16</v>
      </c>
      <c r="H58" s="13" t="s">
        <v>16</v>
      </c>
      <c r="I58" s="13" t="s">
        <v>16</v>
      </c>
      <c r="J58" t="s">
        <v>16</v>
      </c>
      <c r="K58" t="s">
        <v>16</v>
      </c>
      <c r="L58" s="14" t="s">
        <v>16</v>
      </c>
    </row>
    <row r="59" spans="1:12" ht="12.75">
      <c r="A59" s="11" t="s">
        <v>17</v>
      </c>
      <c r="B59" t="s">
        <v>148</v>
      </c>
      <c r="C59" s="12" t="s">
        <v>149</v>
      </c>
      <c r="D59" t="s">
        <v>60</v>
      </c>
      <c r="E59" t="s">
        <v>14</v>
      </c>
      <c r="F59" t="s">
        <v>15</v>
      </c>
      <c r="G59" s="13" t="s">
        <v>16</v>
      </c>
      <c r="H59" s="13" t="s">
        <v>16</v>
      </c>
      <c r="I59" s="13" t="s">
        <v>16</v>
      </c>
      <c r="J59" t="s">
        <v>16</v>
      </c>
      <c r="K59" t="s">
        <v>16</v>
      </c>
      <c r="L59" s="14" t="s">
        <v>16</v>
      </c>
    </row>
    <row r="60" spans="1:12" ht="12.75">
      <c r="A60" s="11" t="s">
        <v>17</v>
      </c>
      <c r="B60" t="s">
        <v>150</v>
      </c>
      <c r="C60" s="12" t="s">
        <v>151</v>
      </c>
      <c r="D60" t="s">
        <v>57</v>
      </c>
      <c r="E60" t="s">
        <v>14</v>
      </c>
      <c r="F60" t="s">
        <v>15</v>
      </c>
      <c r="G60" s="13" t="s">
        <v>16</v>
      </c>
      <c r="H60" s="13" t="s">
        <v>16</v>
      </c>
      <c r="I60" s="13" t="s">
        <v>16</v>
      </c>
      <c r="J60" t="s">
        <v>16</v>
      </c>
      <c r="K60" t="s">
        <v>16</v>
      </c>
      <c r="L60" s="14" t="s">
        <v>16</v>
      </c>
    </row>
    <row r="61" spans="1:12" ht="12.75">
      <c r="A61" s="11" t="s">
        <v>17</v>
      </c>
      <c r="B61" t="s">
        <v>152</v>
      </c>
      <c r="C61" s="12" t="s">
        <v>151</v>
      </c>
      <c r="D61" t="s">
        <v>57</v>
      </c>
      <c r="E61" t="s">
        <v>14</v>
      </c>
      <c r="F61" t="s">
        <v>15</v>
      </c>
      <c r="G61" s="13" t="s">
        <v>16</v>
      </c>
      <c r="H61" s="13" t="s">
        <v>16</v>
      </c>
      <c r="I61" s="13" t="s">
        <v>16</v>
      </c>
      <c r="J61" t="s">
        <v>16</v>
      </c>
      <c r="K61" t="s">
        <v>16</v>
      </c>
      <c r="L61" s="14" t="s">
        <v>16</v>
      </c>
    </row>
    <row r="62" spans="1:12" ht="12.75">
      <c r="A62" s="11" t="s">
        <v>17</v>
      </c>
      <c r="B62" t="s">
        <v>153</v>
      </c>
      <c r="C62" s="12" t="s">
        <v>151</v>
      </c>
      <c r="D62" t="s">
        <v>57</v>
      </c>
      <c r="E62" t="s">
        <v>14</v>
      </c>
      <c r="F62" t="s">
        <v>15</v>
      </c>
      <c r="G62" s="13" t="s">
        <v>16</v>
      </c>
      <c r="H62" s="13" t="s">
        <v>16</v>
      </c>
      <c r="I62" s="13" t="s">
        <v>16</v>
      </c>
      <c r="J62" t="s">
        <v>16</v>
      </c>
      <c r="K62" t="s">
        <v>16</v>
      </c>
      <c r="L62" s="14" t="s">
        <v>16</v>
      </c>
    </row>
    <row r="63" spans="1:12" ht="12.75">
      <c r="A63" s="11" t="s">
        <v>17</v>
      </c>
      <c r="B63" t="s">
        <v>154</v>
      </c>
      <c r="C63" s="12" t="s">
        <v>151</v>
      </c>
      <c r="D63" t="s">
        <v>57</v>
      </c>
      <c r="E63" t="s">
        <v>14</v>
      </c>
      <c r="F63" t="s">
        <v>15</v>
      </c>
      <c r="G63" s="13" t="s">
        <v>16</v>
      </c>
      <c r="H63" s="13" t="s">
        <v>16</v>
      </c>
      <c r="I63" s="13" t="s">
        <v>16</v>
      </c>
      <c r="J63" t="s">
        <v>16</v>
      </c>
      <c r="K63" t="s">
        <v>16</v>
      </c>
      <c r="L63" s="14" t="s">
        <v>16</v>
      </c>
    </row>
    <row r="64" spans="1:12" ht="12.75">
      <c r="A64" s="11" t="s">
        <v>17</v>
      </c>
      <c r="B64" t="s">
        <v>155</v>
      </c>
      <c r="C64" s="12" t="s">
        <v>156</v>
      </c>
      <c r="D64" t="s">
        <v>57</v>
      </c>
      <c r="E64" t="s">
        <v>14</v>
      </c>
      <c r="F64" t="s">
        <v>15</v>
      </c>
      <c r="G64" s="13" t="s">
        <v>16</v>
      </c>
      <c r="H64" s="13" t="s">
        <v>16</v>
      </c>
      <c r="I64" s="13" t="s">
        <v>16</v>
      </c>
      <c r="J64" t="s">
        <v>16</v>
      </c>
      <c r="K64" t="s">
        <v>16</v>
      </c>
      <c r="L64" s="14" t="s">
        <v>16</v>
      </c>
    </row>
    <row r="65" spans="1:12" ht="12.75">
      <c r="A65" s="11" t="s">
        <v>17</v>
      </c>
      <c r="B65" t="s">
        <v>157</v>
      </c>
      <c r="C65" s="12" t="s">
        <v>158</v>
      </c>
      <c r="D65" t="s">
        <v>57</v>
      </c>
      <c r="E65" t="s">
        <v>14</v>
      </c>
      <c r="F65" t="s">
        <v>15</v>
      </c>
      <c r="G65" s="13" t="s">
        <v>16</v>
      </c>
      <c r="H65" s="13" t="s">
        <v>16</v>
      </c>
      <c r="I65" s="13" t="s">
        <v>16</v>
      </c>
      <c r="J65" t="s">
        <v>16</v>
      </c>
      <c r="K65" t="s">
        <v>16</v>
      </c>
      <c r="L65" s="14" t="s">
        <v>16</v>
      </c>
    </row>
    <row r="66" spans="1:12" ht="12.75">
      <c r="A66" s="11" t="s">
        <v>17</v>
      </c>
      <c r="B66" t="s">
        <v>159</v>
      </c>
      <c r="C66" s="12" t="s">
        <v>156</v>
      </c>
      <c r="D66" t="s">
        <v>57</v>
      </c>
      <c r="E66" t="s">
        <v>14</v>
      </c>
      <c r="F66" t="s">
        <v>15</v>
      </c>
      <c r="G66" s="13" t="s">
        <v>16</v>
      </c>
      <c r="H66" s="13" t="s">
        <v>16</v>
      </c>
      <c r="I66" s="13" t="s">
        <v>16</v>
      </c>
      <c r="J66" t="s">
        <v>16</v>
      </c>
      <c r="K66" t="s">
        <v>16</v>
      </c>
      <c r="L66" s="14" t="s">
        <v>16</v>
      </c>
    </row>
    <row r="67" spans="1:12" ht="12.75">
      <c r="A67" s="11" t="s">
        <v>17</v>
      </c>
      <c r="B67" t="s">
        <v>160</v>
      </c>
      <c r="C67" s="12" t="s">
        <v>161</v>
      </c>
      <c r="D67" t="s">
        <v>57</v>
      </c>
      <c r="E67" t="s">
        <v>14</v>
      </c>
      <c r="F67" t="s">
        <v>15</v>
      </c>
      <c r="G67" s="13" t="s">
        <v>16</v>
      </c>
      <c r="H67" s="13" t="s">
        <v>16</v>
      </c>
      <c r="I67" s="13" t="s">
        <v>16</v>
      </c>
      <c r="J67" t="s">
        <v>16</v>
      </c>
      <c r="K67" t="s">
        <v>16</v>
      </c>
      <c r="L67" s="14" t="s">
        <v>16</v>
      </c>
    </row>
    <row r="68" spans="1:12" ht="12.75">
      <c r="A68" s="11" t="s">
        <v>17</v>
      </c>
      <c r="B68" t="s">
        <v>162</v>
      </c>
      <c r="C68" s="12" t="s">
        <v>163</v>
      </c>
      <c r="D68" t="s">
        <v>57</v>
      </c>
      <c r="E68" t="s">
        <v>14</v>
      </c>
      <c r="F68" t="s">
        <v>15</v>
      </c>
      <c r="G68" s="13" t="s">
        <v>16</v>
      </c>
      <c r="H68" s="13" t="s">
        <v>16</v>
      </c>
      <c r="I68" s="13" t="s">
        <v>16</v>
      </c>
      <c r="J68" t="s">
        <v>16</v>
      </c>
      <c r="K68" t="s">
        <v>16</v>
      </c>
      <c r="L68" s="14" t="s">
        <v>16</v>
      </c>
    </row>
    <row r="69" spans="1:12" ht="12.75">
      <c r="A69" s="11" t="s">
        <v>17</v>
      </c>
      <c r="B69" t="s">
        <v>164</v>
      </c>
      <c r="C69" s="12" t="s">
        <v>165</v>
      </c>
      <c r="D69" t="s">
        <v>57</v>
      </c>
      <c r="E69" t="s">
        <v>14</v>
      </c>
      <c r="F69" t="s">
        <v>15</v>
      </c>
      <c r="G69" s="13" t="s">
        <v>16</v>
      </c>
      <c r="H69" s="13" t="s">
        <v>16</v>
      </c>
      <c r="I69" s="13" t="s">
        <v>16</v>
      </c>
      <c r="J69" t="s">
        <v>16</v>
      </c>
      <c r="K69" t="s">
        <v>16</v>
      </c>
      <c r="L69" s="14" t="s">
        <v>16</v>
      </c>
    </row>
    <row r="70" spans="1:12" ht="12.75">
      <c r="A70" s="11" t="s">
        <v>17</v>
      </c>
      <c r="B70" t="s">
        <v>166</v>
      </c>
      <c r="C70" s="12" t="s">
        <v>167</v>
      </c>
      <c r="D70" t="s">
        <v>57</v>
      </c>
      <c r="E70" t="s">
        <v>14</v>
      </c>
      <c r="F70" t="s">
        <v>15</v>
      </c>
      <c r="G70" s="13" t="s">
        <v>16</v>
      </c>
      <c r="H70" s="13" t="s">
        <v>16</v>
      </c>
      <c r="I70" s="13" t="s">
        <v>16</v>
      </c>
      <c r="J70" t="s">
        <v>16</v>
      </c>
      <c r="K70" t="s">
        <v>16</v>
      </c>
      <c r="L70" s="14" t="s">
        <v>16</v>
      </c>
    </row>
    <row r="71" spans="1:12" ht="12.75">
      <c r="A71" s="11" t="s">
        <v>17</v>
      </c>
      <c r="B71" t="s">
        <v>168</v>
      </c>
      <c r="C71" s="12" t="s">
        <v>156</v>
      </c>
      <c r="D71" t="s">
        <v>57</v>
      </c>
      <c r="E71" t="s">
        <v>14</v>
      </c>
      <c r="F71" t="s">
        <v>15</v>
      </c>
      <c r="G71" s="13" t="s">
        <v>16</v>
      </c>
      <c r="H71" s="13" t="s">
        <v>16</v>
      </c>
      <c r="I71" s="13" t="s">
        <v>16</v>
      </c>
      <c r="J71" t="s">
        <v>16</v>
      </c>
      <c r="K71" t="s">
        <v>16</v>
      </c>
      <c r="L71" s="14" t="s">
        <v>16</v>
      </c>
    </row>
    <row r="72" spans="1:12" ht="12.75">
      <c r="A72" s="11" t="s">
        <v>17</v>
      </c>
      <c r="B72" t="s">
        <v>169</v>
      </c>
      <c r="C72" s="12" t="s">
        <v>170</v>
      </c>
      <c r="D72" t="s">
        <v>57</v>
      </c>
      <c r="E72" t="s">
        <v>14</v>
      </c>
      <c r="F72" t="s">
        <v>15</v>
      </c>
      <c r="G72" s="13" t="s">
        <v>16</v>
      </c>
      <c r="H72" s="13" t="s">
        <v>16</v>
      </c>
      <c r="I72" s="13" t="s">
        <v>16</v>
      </c>
      <c r="J72" t="s">
        <v>16</v>
      </c>
      <c r="K72" t="s">
        <v>16</v>
      </c>
      <c r="L72" s="14" t="s">
        <v>16</v>
      </c>
    </row>
    <row r="73" spans="1:12" ht="12.75">
      <c r="A73" s="11" t="s">
        <v>17</v>
      </c>
      <c r="B73" t="s">
        <v>171</v>
      </c>
      <c r="C73" s="12" t="s">
        <v>172</v>
      </c>
      <c r="D73" t="s">
        <v>57</v>
      </c>
      <c r="E73" t="s">
        <v>14</v>
      </c>
      <c r="F73" t="s">
        <v>15</v>
      </c>
      <c r="G73" s="13" t="s">
        <v>16</v>
      </c>
      <c r="H73" s="13" t="s">
        <v>16</v>
      </c>
      <c r="I73" s="13" t="s">
        <v>16</v>
      </c>
      <c r="J73" t="s">
        <v>16</v>
      </c>
      <c r="K73" t="s">
        <v>16</v>
      </c>
      <c r="L73" s="14" t="s">
        <v>16</v>
      </c>
    </row>
    <row r="74" spans="1:12" ht="12.75">
      <c r="A74" s="11" t="s">
        <v>17</v>
      </c>
      <c r="B74" t="s">
        <v>173</v>
      </c>
      <c r="C74" s="12" t="s">
        <v>174</v>
      </c>
      <c r="D74" t="s">
        <v>57</v>
      </c>
      <c r="E74" t="s">
        <v>14</v>
      </c>
      <c r="F74" t="s">
        <v>15</v>
      </c>
      <c r="G74" s="13" t="s">
        <v>16</v>
      </c>
      <c r="H74" s="13" t="s">
        <v>16</v>
      </c>
      <c r="I74" s="13" t="s">
        <v>16</v>
      </c>
      <c r="J74" t="s">
        <v>16</v>
      </c>
      <c r="K74" t="s">
        <v>16</v>
      </c>
      <c r="L74" s="14" t="s">
        <v>16</v>
      </c>
    </row>
    <row r="75" spans="1:12" ht="12.75">
      <c r="A75" s="11" t="s">
        <v>17</v>
      </c>
      <c r="B75" t="s">
        <v>175</v>
      </c>
      <c r="C75" s="12" t="s">
        <v>176</v>
      </c>
      <c r="D75" t="s">
        <v>57</v>
      </c>
      <c r="E75" t="s">
        <v>14</v>
      </c>
      <c r="F75" t="s">
        <v>15</v>
      </c>
      <c r="G75" s="13" t="s">
        <v>16</v>
      </c>
      <c r="H75" s="13" t="s">
        <v>16</v>
      </c>
      <c r="I75" s="13" t="s">
        <v>16</v>
      </c>
      <c r="J75" t="s">
        <v>16</v>
      </c>
      <c r="K75" t="s">
        <v>16</v>
      </c>
      <c r="L75" s="14" t="s">
        <v>16</v>
      </c>
    </row>
    <row r="76" spans="1:12" ht="12.75">
      <c r="A76" s="11" t="s">
        <v>17</v>
      </c>
      <c r="B76" t="s">
        <v>177</v>
      </c>
      <c r="C76" s="12" t="s">
        <v>176</v>
      </c>
      <c r="D76" t="s">
        <v>57</v>
      </c>
      <c r="E76" t="s">
        <v>14</v>
      </c>
      <c r="F76" t="s">
        <v>15</v>
      </c>
      <c r="G76" s="13" t="s">
        <v>16</v>
      </c>
      <c r="H76" s="13" t="s">
        <v>16</v>
      </c>
      <c r="I76" s="13" t="s">
        <v>16</v>
      </c>
      <c r="J76" t="s">
        <v>16</v>
      </c>
      <c r="K76" t="s">
        <v>16</v>
      </c>
      <c r="L76" s="14" t="s">
        <v>16</v>
      </c>
    </row>
    <row r="77" spans="1:12" ht="12.75">
      <c r="A77" s="11" t="s">
        <v>17</v>
      </c>
      <c r="B77" t="s">
        <v>178</v>
      </c>
      <c r="C77" s="12" t="s">
        <v>176</v>
      </c>
      <c r="D77" t="s">
        <v>57</v>
      </c>
      <c r="E77" t="s">
        <v>14</v>
      </c>
      <c r="F77" t="s">
        <v>15</v>
      </c>
      <c r="G77" s="13" t="s">
        <v>16</v>
      </c>
      <c r="H77" s="13" t="s">
        <v>16</v>
      </c>
      <c r="I77" s="13" t="s">
        <v>16</v>
      </c>
      <c r="J77" t="s">
        <v>16</v>
      </c>
      <c r="K77" t="s">
        <v>16</v>
      </c>
      <c r="L77" s="14" t="s">
        <v>16</v>
      </c>
    </row>
    <row r="78" spans="1:12" ht="12.75">
      <c r="A78" s="11" t="s">
        <v>17</v>
      </c>
      <c r="B78" t="s">
        <v>179</v>
      </c>
      <c r="C78" s="12" t="s">
        <v>176</v>
      </c>
      <c r="D78" t="s">
        <v>57</v>
      </c>
      <c r="E78" t="s">
        <v>14</v>
      </c>
      <c r="F78" t="s">
        <v>15</v>
      </c>
      <c r="G78" s="13" t="s">
        <v>16</v>
      </c>
      <c r="H78" s="13" t="s">
        <v>16</v>
      </c>
      <c r="I78" s="13" t="s">
        <v>16</v>
      </c>
      <c r="J78" t="s">
        <v>16</v>
      </c>
      <c r="K78" t="s">
        <v>16</v>
      </c>
      <c r="L78" s="14" t="s">
        <v>16</v>
      </c>
    </row>
    <row r="79" spans="1:12" ht="12.75">
      <c r="A79" s="11" t="s">
        <v>17</v>
      </c>
      <c r="B79" t="s">
        <v>180</v>
      </c>
      <c r="C79" s="12" t="s">
        <v>181</v>
      </c>
      <c r="D79" t="s">
        <v>57</v>
      </c>
      <c r="E79" t="s">
        <v>14</v>
      </c>
      <c r="F79" t="s">
        <v>15</v>
      </c>
      <c r="G79" s="13" t="s">
        <v>16</v>
      </c>
      <c r="H79" s="13" t="s">
        <v>16</v>
      </c>
      <c r="I79" s="13" t="s">
        <v>16</v>
      </c>
      <c r="J79" t="s">
        <v>16</v>
      </c>
      <c r="K79" t="s">
        <v>16</v>
      </c>
      <c r="L79" s="14" t="s">
        <v>16</v>
      </c>
    </row>
    <row r="80" spans="1:12" ht="12.75">
      <c r="A80" s="11" t="s">
        <v>17</v>
      </c>
      <c r="B80" t="s">
        <v>182</v>
      </c>
      <c r="C80" s="12" t="s">
        <v>183</v>
      </c>
      <c r="D80" t="s">
        <v>57</v>
      </c>
      <c r="E80" t="s">
        <v>14</v>
      </c>
      <c r="F80" t="s">
        <v>15</v>
      </c>
      <c r="G80" s="13" t="s">
        <v>16</v>
      </c>
      <c r="H80" s="13" t="s">
        <v>16</v>
      </c>
      <c r="I80" s="13" t="s">
        <v>16</v>
      </c>
      <c r="J80" t="s">
        <v>16</v>
      </c>
      <c r="K80" t="s">
        <v>16</v>
      </c>
      <c r="L80" s="14" t="s">
        <v>16</v>
      </c>
    </row>
    <row r="81" spans="1:12" ht="12.75">
      <c r="A81" s="11" t="s">
        <v>17</v>
      </c>
      <c r="B81" t="s">
        <v>184</v>
      </c>
      <c r="C81" s="12" t="s">
        <v>185</v>
      </c>
      <c r="D81" t="s">
        <v>57</v>
      </c>
      <c r="E81" t="s">
        <v>14</v>
      </c>
      <c r="F81" t="s">
        <v>15</v>
      </c>
      <c r="G81" s="13" t="s">
        <v>16</v>
      </c>
      <c r="H81" s="13" t="s">
        <v>16</v>
      </c>
      <c r="I81" s="13" t="s">
        <v>16</v>
      </c>
      <c r="J81" t="s">
        <v>16</v>
      </c>
      <c r="K81" t="s">
        <v>16</v>
      </c>
      <c r="L81" s="14" t="s">
        <v>16</v>
      </c>
    </row>
    <row r="82" spans="1:12" ht="12.75">
      <c r="A82" s="11" t="s">
        <v>17</v>
      </c>
      <c r="B82" t="s">
        <v>186</v>
      </c>
      <c r="C82" s="12" t="s">
        <v>187</v>
      </c>
      <c r="D82" t="s">
        <v>57</v>
      </c>
      <c r="E82" t="s">
        <v>14</v>
      </c>
      <c r="F82" t="s">
        <v>15</v>
      </c>
      <c r="G82" s="13" t="s">
        <v>16</v>
      </c>
      <c r="H82" s="13" t="s">
        <v>16</v>
      </c>
      <c r="I82" s="13" t="s">
        <v>16</v>
      </c>
      <c r="J82" t="s">
        <v>16</v>
      </c>
      <c r="K82" t="s">
        <v>16</v>
      </c>
      <c r="L82" s="14" t="s">
        <v>16</v>
      </c>
    </row>
    <row r="83" spans="1:12" ht="12.75">
      <c r="A83" s="11" t="s">
        <v>17</v>
      </c>
      <c r="B83" t="s">
        <v>188</v>
      </c>
      <c r="C83" s="12" t="s">
        <v>189</v>
      </c>
      <c r="D83" t="s">
        <v>57</v>
      </c>
      <c r="E83" t="s">
        <v>14</v>
      </c>
      <c r="F83" t="s">
        <v>15</v>
      </c>
      <c r="G83" s="13" t="s">
        <v>16</v>
      </c>
      <c r="H83" s="13" t="s">
        <v>16</v>
      </c>
      <c r="I83" s="13" t="s">
        <v>16</v>
      </c>
      <c r="J83" t="s">
        <v>16</v>
      </c>
      <c r="K83" t="s">
        <v>16</v>
      </c>
      <c r="L83" s="14" t="s">
        <v>16</v>
      </c>
    </row>
    <row r="84" spans="1:12" ht="12.75">
      <c r="A84" s="11" t="s">
        <v>17</v>
      </c>
      <c r="B84" t="s">
        <v>190</v>
      </c>
      <c r="C84" s="12" t="s">
        <v>189</v>
      </c>
      <c r="D84" t="s">
        <v>57</v>
      </c>
      <c r="E84" t="s">
        <v>14</v>
      </c>
      <c r="F84" t="s">
        <v>15</v>
      </c>
      <c r="G84" s="13" t="s">
        <v>16</v>
      </c>
      <c r="H84" s="13" t="s">
        <v>16</v>
      </c>
      <c r="I84" s="13" t="s">
        <v>16</v>
      </c>
      <c r="J84" t="s">
        <v>16</v>
      </c>
      <c r="K84" t="s">
        <v>16</v>
      </c>
      <c r="L84" s="14" t="s">
        <v>16</v>
      </c>
    </row>
    <row r="85" spans="1:12" ht="12.75">
      <c r="A85" s="11" t="s">
        <v>17</v>
      </c>
      <c r="B85" t="s">
        <v>191</v>
      </c>
      <c r="C85" s="12" t="s">
        <v>192</v>
      </c>
      <c r="D85" t="s">
        <v>57</v>
      </c>
      <c r="E85" t="s">
        <v>14</v>
      </c>
      <c r="F85" t="s">
        <v>15</v>
      </c>
      <c r="G85" s="13" t="s">
        <v>16</v>
      </c>
      <c r="H85" s="13" t="s">
        <v>16</v>
      </c>
      <c r="I85" s="13" t="s">
        <v>16</v>
      </c>
      <c r="J85" t="s">
        <v>16</v>
      </c>
      <c r="K85" t="s">
        <v>16</v>
      </c>
      <c r="L85" s="14" t="s">
        <v>16</v>
      </c>
    </row>
    <row r="86" spans="1:12" ht="12.75">
      <c r="A86" s="11" t="s">
        <v>17</v>
      </c>
      <c r="B86" t="s">
        <v>193</v>
      </c>
      <c r="C86" s="12" t="s">
        <v>189</v>
      </c>
      <c r="D86" t="s">
        <v>57</v>
      </c>
      <c r="E86" t="s">
        <v>14</v>
      </c>
      <c r="F86" t="s">
        <v>15</v>
      </c>
      <c r="G86" s="13" t="s">
        <v>16</v>
      </c>
      <c r="H86" s="13" t="s">
        <v>16</v>
      </c>
      <c r="I86" s="13" t="s">
        <v>16</v>
      </c>
      <c r="J86" t="s">
        <v>16</v>
      </c>
      <c r="K86" t="s">
        <v>16</v>
      </c>
      <c r="L86" s="14" t="s">
        <v>16</v>
      </c>
    </row>
    <row r="87" spans="1:12" ht="12.75">
      <c r="A87" s="11" t="s">
        <v>17</v>
      </c>
      <c r="B87" t="s">
        <v>194</v>
      </c>
      <c r="C87" s="12" t="s">
        <v>189</v>
      </c>
      <c r="D87" t="s">
        <v>57</v>
      </c>
      <c r="E87" t="s">
        <v>14</v>
      </c>
      <c r="F87" t="s">
        <v>15</v>
      </c>
      <c r="G87" s="13" t="s">
        <v>16</v>
      </c>
      <c r="H87" s="13" t="s">
        <v>16</v>
      </c>
      <c r="I87" s="13" t="s">
        <v>16</v>
      </c>
      <c r="J87" t="s">
        <v>16</v>
      </c>
      <c r="K87" t="s">
        <v>16</v>
      </c>
      <c r="L87" s="14" t="s">
        <v>16</v>
      </c>
    </row>
    <row r="88" spans="1:12" ht="12.75">
      <c r="A88" s="11" t="s">
        <v>17</v>
      </c>
      <c r="B88" t="s">
        <v>195</v>
      </c>
      <c r="C88" s="12" t="s">
        <v>189</v>
      </c>
      <c r="D88" t="s">
        <v>57</v>
      </c>
      <c r="E88" t="s">
        <v>14</v>
      </c>
      <c r="F88" t="s">
        <v>15</v>
      </c>
      <c r="G88" s="13" t="s">
        <v>16</v>
      </c>
      <c r="H88" s="13" t="s">
        <v>16</v>
      </c>
      <c r="I88" s="13" t="s">
        <v>16</v>
      </c>
      <c r="J88" t="s">
        <v>16</v>
      </c>
      <c r="K88" t="s">
        <v>16</v>
      </c>
      <c r="L88" s="14" t="s">
        <v>16</v>
      </c>
    </row>
    <row r="89" spans="1:12" ht="12.75">
      <c r="A89" s="11" t="s">
        <v>17</v>
      </c>
      <c r="B89" t="s">
        <v>196</v>
      </c>
      <c r="C89" s="12" t="s">
        <v>197</v>
      </c>
      <c r="D89" t="s">
        <v>57</v>
      </c>
      <c r="E89" t="s">
        <v>14</v>
      </c>
      <c r="F89" t="s">
        <v>15</v>
      </c>
      <c r="G89" s="13" t="s">
        <v>16</v>
      </c>
      <c r="H89" s="13" t="s">
        <v>16</v>
      </c>
      <c r="I89" s="13" t="s">
        <v>16</v>
      </c>
      <c r="J89" t="s">
        <v>16</v>
      </c>
      <c r="K89" t="s">
        <v>16</v>
      </c>
      <c r="L89" s="14" t="s">
        <v>16</v>
      </c>
    </row>
    <row r="90" spans="1:12" ht="12.75">
      <c r="A90" s="11" t="s">
        <v>17</v>
      </c>
      <c r="B90" t="s">
        <v>198</v>
      </c>
      <c r="C90" s="12" t="s">
        <v>189</v>
      </c>
      <c r="D90" t="s">
        <v>57</v>
      </c>
      <c r="E90" t="s">
        <v>14</v>
      </c>
      <c r="F90" t="s">
        <v>15</v>
      </c>
      <c r="G90" s="13" t="s">
        <v>16</v>
      </c>
      <c r="H90" s="13" t="s">
        <v>16</v>
      </c>
      <c r="I90" s="13" t="s">
        <v>16</v>
      </c>
      <c r="J90" t="s">
        <v>16</v>
      </c>
      <c r="K90" t="s">
        <v>16</v>
      </c>
      <c r="L90" s="14" t="s">
        <v>16</v>
      </c>
    </row>
    <row r="91" spans="1:12" ht="12.75">
      <c r="A91" s="11" t="s">
        <v>17</v>
      </c>
      <c r="B91" t="s">
        <v>199</v>
      </c>
      <c r="C91" s="12" t="s">
        <v>115</v>
      </c>
      <c r="D91" t="s">
        <v>57</v>
      </c>
      <c r="E91" t="s">
        <v>14</v>
      </c>
      <c r="F91" t="s">
        <v>15</v>
      </c>
      <c r="G91" s="13" t="s">
        <v>16</v>
      </c>
      <c r="H91" s="13" t="s">
        <v>16</v>
      </c>
      <c r="I91" s="13" t="s">
        <v>16</v>
      </c>
      <c r="J91" t="s">
        <v>16</v>
      </c>
      <c r="K91" t="s">
        <v>16</v>
      </c>
      <c r="L91" s="14" t="s">
        <v>16</v>
      </c>
    </row>
    <row r="92" spans="1:12" ht="12.75">
      <c r="A92" s="11" t="s">
        <v>17</v>
      </c>
      <c r="B92" t="s">
        <v>200</v>
      </c>
      <c r="C92" s="12" t="s">
        <v>201</v>
      </c>
      <c r="D92" t="s">
        <v>202</v>
      </c>
      <c r="E92" t="s">
        <v>14</v>
      </c>
      <c r="F92" t="s">
        <v>15</v>
      </c>
      <c r="G92" s="13" t="s">
        <v>16</v>
      </c>
      <c r="H92" s="13" t="s">
        <v>16</v>
      </c>
      <c r="I92" s="13" t="s">
        <v>16</v>
      </c>
      <c r="J92" t="s">
        <v>16</v>
      </c>
      <c r="K92" t="s">
        <v>16</v>
      </c>
      <c r="L92" s="14" t="s">
        <v>16</v>
      </c>
    </row>
    <row r="93" spans="1:12" ht="12.75">
      <c r="A93" s="11" t="s">
        <v>17</v>
      </c>
      <c r="B93" t="s">
        <v>203</v>
      </c>
      <c r="C93" s="12" t="s">
        <v>204</v>
      </c>
      <c r="D93" t="s">
        <v>59</v>
      </c>
      <c r="E93" t="s">
        <v>14</v>
      </c>
      <c r="F93" t="s">
        <v>15</v>
      </c>
      <c r="G93" s="13" t="s">
        <v>16</v>
      </c>
      <c r="H93" s="13" t="s">
        <v>16</v>
      </c>
      <c r="I93" s="13" t="s">
        <v>16</v>
      </c>
      <c r="J93" t="s">
        <v>16</v>
      </c>
      <c r="K93" t="s">
        <v>16</v>
      </c>
      <c r="L93" s="14" t="s">
        <v>16</v>
      </c>
    </row>
    <row r="94" spans="1:12" ht="12.75">
      <c r="A94" s="11" t="s">
        <v>17</v>
      </c>
      <c r="B94" t="s">
        <v>205</v>
      </c>
      <c r="C94" s="12" t="s">
        <v>206</v>
      </c>
      <c r="D94" t="s">
        <v>59</v>
      </c>
      <c r="E94" t="s">
        <v>14</v>
      </c>
      <c r="F94" t="s">
        <v>15</v>
      </c>
      <c r="G94" s="13" t="s">
        <v>16</v>
      </c>
      <c r="H94" s="13" t="s">
        <v>16</v>
      </c>
      <c r="I94" s="13" t="s">
        <v>16</v>
      </c>
      <c r="J94" t="s">
        <v>16</v>
      </c>
      <c r="K94" t="s">
        <v>16</v>
      </c>
      <c r="L94" s="14" t="s">
        <v>16</v>
      </c>
    </row>
    <row r="95" spans="1:12" ht="12.75">
      <c r="A95" s="11" t="s">
        <v>17</v>
      </c>
      <c r="B95" t="s">
        <v>207</v>
      </c>
      <c r="C95" s="12" t="s">
        <v>208</v>
      </c>
      <c r="D95" t="s">
        <v>59</v>
      </c>
      <c r="E95" t="s">
        <v>14</v>
      </c>
      <c r="F95" t="s">
        <v>15</v>
      </c>
      <c r="G95" s="13" t="s">
        <v>16</v>
      </c>
      <c r="H95" s="13" t="s">
        <v>16</v>
      </c>
      <c r="I95" s="13" t="s">
        <v>16</v>
      </c>
      <c r="J95" t="s">
        <v>16</v>
      </c>
      <c r="K95" t="s">
        <v>16</v>
      </c>
      <c r="L95" s="14" t="s">
        <v>16</v>
      </c>
    </row>
    <row r="96" spans="1:12" ht="12.75">
      <c r="A96" s="11" t="s">
        <v>17</v>
      </c>
      <c r="B96" t="s">
        <v>209</v>
      </c>
      <c r="C96" s="12" t="s">
        <v>210</v>
      </c>
      <c r="D96" t="s">
        <v>59</v>
      </c>
      <c r="E96" t="s">
        <v>14</v>
      </c>
      <c r="F96" t="s">
        <v>15</v>
      </c>
      <c r="G96" s="13" t="s">
        <v>16</v>
      </c>
      <c r="H96" s="13" t="s">
        <v>16</v>
      </c>
      <c r="I96" s="13" t="s">
        <v>16</v>
      </c>
      <c r="J96" t="s">
        <v>16</v>
      </c>
      <c r="K96" t="s">
        <v>16</v>
      </c>
      <c r="L96" s="14" t="s">
        <v>16</v>
      </c>
    </row>
    <row r="97" spans="1:12" ht="12.75">
      <c r="A97" s="11" t="s">
        <v>17</v>
      </c>
      <c r="B97" t="s">
        <v>211</v>
      </c>
      <c r="C97" s="12" t="s">
        <v>212</v>
      </c>
      <c r="D97" t="s">
        <v>59</v>
      </c>
      <c r="E97" t="s">
        <v>14</v>
      </c>
      <c r="F97" t="s">
        <v>15</v>
      </c>
      <c r="G97" s="13" t="s">
        <v>16</v>
      </c>
      <c r="H97" s="13" t="s">
        <v>16</v>
      </c>
      <c r="I97" s="13" t="s">
        <v>16</v>
      </c>
      <c r="J97" t="s">
        <v>16</v>
      </c>
      <c r="K97" t="s">
        <v>16</v>
      </c>
      <c r="L97" s="14" t="s">
        <v>16</v>
      </c>
    </row>
    <row r="98" spans="1:12" ht="12.75">
      <c r="A98" s="11" t="s">
        <v>17</v>
      </c>
      <c r="B98" t="s">
        <v>213</v>
      </c>
      <c r="C98" s="12" t="s">
        <v>214</v>
      </c>
      <c r="D98" t="s">
        <v>59</v>
      </c>
      <c r="E98" t="s">
        <v>14</v>
      </c>
      <c r="F98" t="s">
        <v>15</v>
      </c>
      <c r="G98" s="13" t="s">
        <v>16</v>
      </c>
      <c r="H98" s="13" t="s">
        <v>16</v>
      </c>
      <c r="I98" s="13" t="s">
        <v>16</v>
      </c>
      <c r="J98" t="s">
        <v>16</v>
      </c>
      <c r="K98" t="s">
        <v>16</v>
      </c>
      <c r="L98" s="14" t="s">
        <v>16</v>
      </c>
    </row>
    <row r="99" spans="1:12" ht="12.75">
      <c r="A99" s="11" t="s">
        <v>17</v>
      </c>
      <c r="B99" t="s">
        <v>215</v>
      </c>
      <c r="C99" s="12" t="s">
        <v>216</v>
      </c>
      <c r="D99" t="s">
        <v>59</v>
      </c>
      <c r="E99" t="s">
        <v>14</v>
      </c>
      <c r="F99" t="s">
        <v>15</v>
      </c>
      <c r="G99" s="13" t="s">
        <v>16</v>
      </c>
      <c r="H99" s="13" t="s">
        <v>16</v>
      </c>
      <c r="I99" s="13" t="s">
        <v>16</v>
      </c>
      <c r="J99" t="s">
        <v>16</v>
      </c>
      <c r="K99" t="s">
        <v>16</v>
      </c>
      <c r="L99" s="14" t="s">
        <v>16</v>
      </c>
    </row>
    <row r="100" spans="1:12" ht="12.75">
      <c r="A100" s="11" t="s">
        <v>17</v>
      </c>
      <c r="B100" t="s">
        <v>217</v>
      </c>
      <c r="C100" s="12" t="s">
        <v>218</v>
      </c>
      <c r="D100" t="s">
        <v>59</v>
      </c>
      <c r="E100" t="s">
        <v>14</v>
      </c>
      <c r="F100" t="s">
        <v>15</v>
      </c>
      <c r="G100" s="13" t="s">
        <v>16</v>
      </c>
      <c r="H100" s="13" t="s">
        <v>16</v>
      </c>
      <c r="I100" s="13" t="s">
        <v>16</v>
      </c>
      <c r="J100" t="s">
        <v>16</v>
      </c>
      <c r="K100" t="s">
        <v>16</v>
      </c>
      <c r="L100" s="14" t="s">
        <v>16</v>
      </c>
    </row>
    <row r="101" spans="1:12" ht="12.75">
      <c r="A101" s="11" t="s">
        <v>17</v>
      </c>
      <c r="B101" t="s">
        <v>219</v>
      </c>
      <c r="C101" s="12" t="s">
        <v>220</v>
      </c>
      <c r="D101" t="s">
        <v>59</v>
      </c>
      <c r="E101" t="s">
        <v>14</v>
      </c>
      <c r="F101" t="s">
        <v>15</v>
      </c>
      <c r="G101" s="13" t="s">
        <v>16</v>
      </c>
      <c r="H101" s="13" t="s">
        <v>16</v>
      </c>
      <c r="I101" s="13" t="s">
        <v>16</v>
      </c>
      <c r="J101" t="s">
        <v>16</v>
      </c>
      <c r="K101" t="s">
        <v>16</v>
      </c>
      <c r="L101" s="14" t="s">
        <v>16</v>
      </c>
    </row>
    <row r="102" spans="1:12" ht="12.75">
      <c r="A102" s="11" t="s">
        <v>17</v>
      </c>
      <c r="B102" t="s">
        <v>221</v>
      </c>
      <c r="C102" s="12" t="s">
        <v>222</v>
      </c>
      <c r="D102" t="s">
        <v>59</v>
      </c>
      <c r="E102" t="s">
        <v>14</v>
      </c>
      <c r="F102" t="s">
        <v>15</v>
      </c>
      <c r="G102" s="13" t="s">
        <v>16</v>
      </c>
      <c r="H102" s="13" t="s">
        <v>16</v>
      </c>
      <c r="I102" s="13" t="s">
        <v>16</v>
      </c>
      <c r="J102" t="s">
        <v>16</v>
      </c>
      <c r="K102" t="s">
        <v>16</v>
      </c>
      <c r="L102" s="14" t="s">
        <v>16</v>
      </c>
    </row>
    <row r="103" spans="1:12" ht="12.75">
      <c r="A103" s="11" t="s">
        <v>17</v>
      </c>
      <c r="B103" t="s">
        <v>223</v>
      </c>
      <c r="C103" s="12" t="s">
        <v>224</v>
      </c>
      <c r="D103" t="s">
        <v>225</v>
      </c>
      <c r="E103" t="s">
        <v>14</v>
      </c>
      <c r="F103" t="s">
        <v>15</v>
      </c>
      <c r="G103" s="13" t="s">
        <v>16</v>
      </c>
      <c r="H103" s="13" t="s">
        <v>16</v>
      </c>
      <c r="I103" s="13" t="s">
        <v>16</v>
      </c>
      <c r="J103" t="s">
        <v>16</v>
      </c>
      <c r="K103" t="s">
        <v>16</v>
      </c>
      <c r="L103" s="14" t="s">
        <v>16</v>
      </c>
    </row>
    <row r="104" spans="1:12" ht="12.75">
      <c r="A104" s="11" t="s">
        <v>17</v>
      </c>
      <c r="B104" t="s">
        <v>226</v>
      </c>
      <c r="C104" s="12" t="s">
        <v>227</v>
      </c>
      <c r="D104" t="s">
        <v>225</v>
      </c>
      <c r="E104" t="s">
        <v>14</v>
      </c>
      <c r="F104" t="s">
        <v>15</v>
      </c>
      <c r="G104" s="13" t="s">
        <v>16</v>
      </c>
      <c r="H104" s="13" t="s">
        <v>16</v>
      </c>
      <c r="I104" s="13" t="s">
        <v>16</v>
      </c>
      <c r="J104" t="s">
        <v>16</v>
      </c>
      <c r="K104" t="s">
        <v>16</v>
      </c>
      <c r="L104" s="14" t="s">
        <v>16</v>
      </c>
    </row>
    <row r="105" spans="1:12" ht="12.75">
      <c r="A105" s="11" t="s">
        <v>17</v>
      </c>
      <c r="B105" t="s">
        <v>228</v>
      </c>
      <c r="C105" s="12" t="s">
        <v>229</v>
      </c>
      <c r="D105" t="s">
        <v>225</v>
      </c>
      <c r="E105" t="s">
        <v>14</v>
      </c>
      <c r="F105" t="s">
        <v>15</v>
      </c>
      <c r="G105" s="13" t="s">
        <v>16</v>
      </c>
      <c r="H105" s="13" t="s">
        <v>16</v>
      </c>
      <c r="I105" s="13" t="s">
        <v>16</v>
      </c>
      <c r="J105" t="s">
        <v>16</v>
      </c>
      <c r="K105" t="s">
        <v>16</v>
      </c>
      <c r="L105" s="14" t="s">
        <v>16</v>
      </c>
    </row>
    <row r="106" spans="1:12" ht="12.75">
      <c r="A106" s="11" t="s">
        <v>17</v>
      </c>
      <c r="B106" t="s">
        <v>230</v>
      </c>
      <c r="C106" s="12">
        <v>17326</v>
      </c>
      <c r="D106" t="s">
        <v>54</v>
      </c>
      <c r="E106" t="s">
        <v>14</v>
      </c>
      <c r="F106" t="s">
        <v>15</v>
      </c>
      <c r="G106" s="13" t="s">
        <v>16</v>
      </c>
      <c r="H106" s="13" t="s">
        <v>16</v>
      </c>
      <c r="I106" s="13" t="s">
        <v>16</v>
      </c>
      <c r="J106" t="s">
        <v>16</v>
      </c>
      <c r="K106" t="s">
        <v>16</v>
      </c>
      <c r="L106" s="14" t="s">
        <v>16</v>
      </c>
    </row>
    <row r="107" spans="1:12" ht="12.75">
      <c r="A107" s="11" t="s">
        <v>17</v>
      </c>
      <c r="B107" t="s">
        <v>231</v>
      </c>
      <c r="C107" s="12" t="s">
        <v>232</v>
      </c>
      <c r="D107" t="s">
        <v>54</v>
      </c>
      <c r="E107" t="s">
        <v>14</v>
      </c>
      <c r="F107" t="s">
        <v>15</v>
      </c>
      <c r="G107" s="13" t="s">
        <v>16</v>
      </c>
      <c r="H107" s="13" t="s">
        <v>16</v>
      </c>
      <c r="I107" s="13" t="s">
        <v>16</v>
      </c>
      <c r="J107" t="s">
        <v>16</v>
      </c>
      <c r="K107" t="s">
        <v>16</v>
      </c>
      <c r="L107" s="14" t="s">
        <v>16</v>
      </c>
    </row>
    <row r="108" spans="1:12" ht="12.75">
      <c r="A108" s="11" t="s">
        <v>17</v>
      </c>
      <c r="B108" t="s">
        <v>233</v>
      </c>
      <c r="C108" s="12" t="s">
        <v>234</v>
      </c>
      <c r="D108" t="s">
        <v>54</v>
      </c>
      <c r="E108" t="s">
        <v>14</v>
      </c>
      <c r="F108" t="s">
        <v>15</v>
      </c>
      <c r="G108" s="13" t="s">
        <v>16</v>
      </c>
      <c r="H108" s="13" t="s">
        <v>16</v>
      </c>
      <c r="I108" s="13" t="s">
        <v>16</v>
      </c>
      <c r="J108" t="s">
        <v>16</v>
      </c>
      <c r="K108" t="s">
        <v>16</v>
      </c>
      <c r="L108" s="14" t="s">
        <v>16</v>
      </c>
    </row>
    <row r="109" spans="1:12" ht="12.75">
      <c r="A109" s="11" t="s">
        <v>17</v>
      </c>
      <c r="B109" t="s">
        <v>235</v>
      </c>
      <c r="C109" s="12">
        <v>14101</v>
      </c>
      <c r="D109" t="s">
        <v>54</v>
      </c>
      <c r="E109" t="s">
        <v>14</v>
      </c>
      <c r="F109" t="s">
        <v>15</v>
      </c>
      <c r="G109" s="13" t="s">
        <v>16</v>
      </c>
      <c r="H109" s="13" t="s">
        <v>16</v>
      </c>
      <c r="I109" s="13" t="s">
        <v>16</v>
      </c>
      <c r="J109" t="s">
        <v>16</v>
      </c>
      <c r="K109" t="s">
        <v>16</v>
      </c>
      <c r="L109" s="14" t="s">
        <v>16</v>
      </c>
    </row>
    <row r="110" spans="1:12" ht="12.75">
      <c r="A110" s="11" t="s">
        <v>17</v>
      </c>
      <c r="B110" t="s">
        <v>236</v>
      </c>
      <c r="C110" s="12" t="s">
        <v>237</v>
      </c>
      <c r="D110" t="s">
        <v>54</v>
      </c>
      <c r="E110" t="s">
        <v>14</v>
      </c>
      <c r="F110" t="s">
        <v>15</v>
      </c>
      <c r="G110" s="13" t="s">
        <v>16</v>
      </c>
      <c r="H110" s="13" t="s">
        <v>16</v>
      </c>
      <c r="I110" s="13" t="s">
        <v>16</v>
      </c>
      <c r="J110" t="s">
        <v>16</v>
      </c>
      <c r="K110" t="s">
        <v>16</v>
      </c>
      <c r="L110" s="14" t="s">
        <v>16</v>
      </c>
    </row>
    <row r="111" spans="1:12" ht="12.75">
      <c r="A111" s="11" t="s">
        <v>17</v>
      </c>
      <c r="B111" t="s">
        <v>238</v>
      </c>
      <c r="C111" s="12" t="s">
        <v>239</v>
      </c>
      <c r="D111" t="s">
        <v>240</v>
      </c>
      <c r="E111" t="s">
        <v>14</v>
      </c>
      <c r="F111" t="s">
        <v>15</v>
      </c>
      <c r="G111" s="13" t="s">
        <v>16</v>
      </c>
      <c r="H111" s="13" t="s">
        <v>16</v>
      </c>
      <c r="I111" s="13" t="s">
        <v>16</v>
      </c>
      <c r="J111" t="s">
        <v>16</v>
      </c>
      <c r="K111" t="s">
        <v>16</v>
      </c>
      <c r="L111" s="14" t="s">
        <v>16</v>
      </c>
    </row>
    <row r="112" spans="1:12" ht="12.75">
      <c r="A112" s="11" t="s">
        <v>17</v>
      </c>
      <c r="B112" t="s">
        <v>241</v>
      </c>
      <c r="C112" s="12" t="s">
        <v>242</v>
      </c>
      <c r="D112" t="s">
        <v>45</v>
      </c>
      <c r="E112" t="s">
        <v>14</v>
      </c>
      <c r="F112" t="s">
        <v>15</v>
      </c>
      <c r="G112" s="13" t="s">
        <v>16</v>
      </c>
      <c r="H112" s="13" t="s">
        <v>16</v>
      </c>
      <c r="I112" s="13" t="s">
        <v>16</v>
      </c>
      <c r="J112" t="s">
        <v>16</v>
      </c>
      <c r="K112" t="s">
        <v>16</v>
      </c>
      <c r="L112" s="14" t="s">
        <v>16</v>
      </c>
    </row>
    <row r="113" spans="1:12" ht="12.75">
      <c r="A113" s="11" t="s">
        <v>17</v>
      </c>
      <c r="B113" t="s">
        <v>243</v>
      </c>
      <c r="C113" s="12" t="s">
        <v>242</v>
      </c>
      <c r="D113" t="s">
        <v>45</v>
      </c>
      <c r="E113" t="s">
        <v>14</v>
      </c>
      <c r="F113" t="s">
        <v>15</v>
      </c>
      <c r="G113" s="13" t="s">
        <v>16</v>
      </c>
      <c r="H113" s="13" t="s">
        <v>16</v>
      </c>
      <c r="I113" s="13" t="s">
        <v>16</v>
      </c>
      <c r="J113" t="s">
        <v>16</v>
      </c>
      <c r="K113" t="s">
        <v>16</v>
      </c>
      <c r="L113" s="14" t="s">
        <v>16</v>
      </c>
    </row>
    <row r="114" spans="1:12" ht="12.75">
      <c r="A114" s="11" t="s">
        <v>17</v>
      </c>
      <c r="B114" t="s">
        <v>244</v>
      </c>
      <c r="C114" s="12" t="s">
        <v>242</v>
      </c>
      <c r="D114" t="s">
        <v>45</v>
      </c>
      <c r="E114" t="s">
        <v>14</v>
      </c>
      <c r="F114" t="s">
        <v>15</v>
      </c>
      <c r="G114" s="13" t="s">
        <v>16</v>
      </c>
      <c r="H114" s="13" t="s">
        <v>16</v>
      </c>
      <c r="I114" s="13" t="s">
        <v>16</v>
      </c>
      <c r="J114" t="s">
        <v>16</v>
      </c>
      <c r="K114" t="s">
        <v>16</v>
      </c>
      <c r="L114" s="14" t="s">
        <v>16</v>
      </c>
    </row>
    <row r="115" spans="1:12" ht="12.75">
      <c r="A115" s="11" t="s">
        <v>17</v>
      </c>
      <c r="B115" t="s">
        <v>245</v>
      </c>
      <c r="C115" s="12" t="s">
        <v>246</v>
      </c>
      <c r="D115" t="s">
        <v>45</v>
      </c>
      <c r="E115" t="s">
        <v>14</v>
      </c>
      <c r="F115" t="s">
        <v>15</v>
      </c>
      <c r="G115" s="13" t="s">
        <v>16</v>
      </c>
      <c r="H115" s="13" t="s">
        <v>16</v>
      </c>
      <c r="I115" s="13" t="s">
        <v>16</v>
      </c>
      <c r="J115" t="s">
        <v>16</v>
      </c>
      <c r="K115" t="s">
        <v>16</v>
      </c>
      <c r="L115" s="14" t="s">
        <v>16</v>
      </c>
    </row>
    <row r="116" spans="1:12" ht="12.75">
      <c r="A116" s="11" t="s">
        <v>17</v>
      </c>
      <c r="B116" t="s">
        <v>247</v>
      </c>
      <c r="C116" s="12" t="s">
        <v>248</v>
      </c>
      <c r="D116" t="s">
        <v>45</v>
      </c>
      <c r="E116" t="s">
        <v>14</v>
      </c>
      <c r="F116" t="s">
        <v>15</v>
      </c>
      <c r="G116" s="13" t="s">
        <v>16</v>
      </c>
      <c r="H116" s="13" t="s">
        <v>16</v>
      </c>
      <c r="I116" s="13" t="s">
        <v>16</v>
      </c>
      <c r="J116" t="s">
        <v>16</v>
      </c>
      <c r="K116" t="s">
        <v>16</v>
      </c>
      <c r="L116" s="14" t="s">
        <v>16</v>
      </c>
    </row>
    <row r="117" spans="1:12" ht="12.75">
      <c r="A117" s="11" t="s">
        <v>17</v>
      </c>
      <c r="B117" t="s">
        <v>249</v>
      </c>
      <c r="C117" s="12" t="s">
        <v>250</v>
      </c>
      <c r="D117" t="s">
        <v>45</v>
      </c>
      <c r="E117" t="s">
        <v>14</v>
      </c>
      <c r="F117" t="s">
        <v>15</v>
      </c>
      <c r="G117" s="13" t="s">
        <v>16</v>
      </c>
      <c r="H117" s="13" t="s">
        <v>16</v>
      </c>
      <c r="I117" s="13" t="s">
        <v>16</v>
      </c>
      <c r="J117" t="s">
        <v>16</v>
      </c>
      <c r="K117" t="s">
        <v>16</v>
      </c>
      <c r="L117" s="14" t="s">
        <v>16</v>
      </c>
    </row>
    <row r="118" spans="1:12" ht="12.75">
      <c r="A118" s="11" t="s">
        <v>17</v>
      </c>
      <c r="B118" t="s">
        <v>251</v>
      </c>
      <c r="C118" s="12" t="s">
        <v>250</v>
      </c>
      <c r="D118" t="s">
        <v>45</v>
      </c>
      <c r="E118" t="s">
        <v>14</v>
      </c>
      <c r="F118" t="s">
        <v>15</v>
      </c>
      <c r="G118" s="13" t="s">
        <v>16</v>
      </c>
      <c r="H118" s="13" t="s">
        <v>16</v>
      </c>
      <c r="I118" s="13" t="s">
        <v>16</v>
      </c>
      <c r="J118" t="s">
        <v>16</v>
      </c>
      <c r="K118" t="s">
        <v>16</v>
      </c>
      <c r="L118" s="14" t="s">
        <v>16</v>
      </c>
    </row>
    <row r="119" spans="1:12" ht="12.75">
      <c r="A119" s="11" t="s">
        <v>17</v>
      </c>
      <c r="B119" t="s">
        <v>252</v>
      </c>
      <c r="C119" s="12" t="s">
        <v>250</v>
      </c>
      <c r="D119" t="s">
        <v>45</v>
      </c>
      <c r="E119" t="s">
        <v>14</v>
      </c>
      <c r="F119" t="s">
        <v>15</v>
      </c>
      <c r="G119" s="13" t="s">
        <v>16</v>
      </c>
      <c r="H119" s="13" t="s">
        <v>16</v>
      </c>
      <c r="I119" s="13" t="s">
        <v>16</v>
      </c>
      <c r="J119" t="s">
        <v>16</v>
      </c>
      <c r="K119" t="s">
        <v>16</v>
      </c>
      <c r="L119" s="14" t="s">
        <v>16</v>
      </c>
    </row>
    <row r="120" spans="1:12" ht="12.75">
      <c r="A120" s="11" t="s">
        <v>17</v>
      </c>
      <c r="B120" t="s">
        <v>253</v>
      </c>
      <c r="C120" s="12" t="s">
        <v>250</v>
      </c>
      <c r="D120" t="s">
        <v>45</v>
      </c>
      <c r="E120" t="s">
        <v>14</v>
      </c>
      <c r="F120" t="s">
        <v>15</v>
      </c>
      <c r="G120" s="13" t="s">
        <v>16</v>
      </c>
      <c r="H120" s="13" t="s">
        <v>16</v>
      </c>
      <c r="I120" s="13" t="s">
        <v>16</v>
      </c>
      <c r="J120" t="s">
        <v>16</v>
      </c>
      <c r="K120" t="s">
        <v>16</v>
      </c>
      <c r="L120" s="14" t="s">
        <v>16</v>
      </c>
    </row>
    <row r="121" spans="1:12" ht="12.75">
      <c r="A121" s="11" t="s">
        <v>17</v>
      </c>
      <c r="B121" t="s">
        <v>254</v>
      </c>
      <c r="C121" s="12" t="s">
        <v>250</v>
      </c>
      <c r="D121" t="s">
        <v>45</v>
      </c>
      <c r="E121" t="s">
        <v>14</v>
      </c>
      <c r="F121" t="s">
        <v>15</v>
      </c>
      <c r="G121" s="13" t="s">
        <v>16</v>
      </c>
      <c r="H121" s="13" t="s">
        <v>16</v>
      </c>
      <c r="I121" s="13" t="s">
        <v>16</v>
      </c>
      <c r="J121" t="s">
        <v>16</v>
      </c>
      <c r="K121" t="s">
        <v>16</v>
      </c>
      <c r="L121" s="14" t="s">
        <v>16</v>
      </c>
    </row>
    <row r="122" spans="1:12" ht="12.75">
      <c r="A122" s="11" t="s">
        <v>17</v>
      </c>
      <c r="B122" t="s">
        <v>255</v>
      </c>
      <c r="C122" s="12" t="s">
        <v>250</v>
      </c>
      <c r="D122" t="s">
        <v>45</v>
      </c>
      <c r="E122" t="s">
        <v>14</v>
      </c>
      <c r="F122" t="s">
        <v>15</v>
      </c>
      <c r="G122" s="13" t="s">
        <v>16</v>
      </c>
      <c r="H122" s="13" t="s">
        <v>16</v>
      </c>
      <c r="I122" s="13" t="s">
        <v>16</v>
      </c>
      <c r="J122" t="s">
        <v>16</v>
      </c>
      <c r="K122" t="s">
        <v>16</v>
      </c>
      <c r="L122" s="14" t="s">
        <v>16</v>
      </c>
    </row>
    <row r="123" spans="1:12" ht="12.75">
      <c r="A123" s="11" t="s">
        <v>17</v>
      </c>
      <c r="B123" t="s">
        <v>256</v>
      </c>
      <c r="C123" s="12" t="s">
        <v>250</v>
      </c>
      <c r="D123" t="s">
        <v>45</v>
      </c>
      <c r="E123" t="s">
        <v>14</v>
      </c>
      <c r="F123" t="s">
        <v>15</v>
      </c>
      <c r="G123" s="13" t="s">
        <v>16</v>
      </c>
      <c r="H123" s="13" t="s">
        <v>16</v>
      </c>
      <c r="I123" s="13" t="s">
        <v>16</v>
      </c>
      <c r="J123" t="s">
        <v>16</v>
      </c>
      <c r="K123" t="s">
        <v>16</v>
      </c>
      <c r="L123" s="14" t="s">
        <v>16</v>
      </c>
    </row>
    <row r="124" spans="1:12" ht="12.75">
      <c r="A124" s="11" t="s">
        <v>17</v>
      </c>
      <c r="B124" t="s">
        <v>257</v>
      </c>
      <c r="C124" s="12" t="s">
        <v>250</v>
      </c>
      <c r="D124" t="s">
        <v>45</v>
      </c>
      <c r="E124" t="s">
        <v>14</v>
      </c>
      <c r="F124" t="s">
        <v>15</v>
      </c>
      <c r="G124" s="13" t="s">
        <v>16</v>
      </c>
      <c r="H124" s="13" t="s">
        <v>16</v>
      </c>
      <c r="I124" s="13" t="s">
        <v>16</v>
      </c>
      <c r="J124" t="s">
        <v>16</v>
      </c>
      <c r="K124" t="s">
        <v>16</v>
      </c>
      <c r="L124" s="14" t="s">
        <v>16</v>
      </c>
    </row>
    <row r="125" spans="1:12" ht="12.75">
      <c r="A125" s="11" t="s">
        <v>17</v>
      </c>
      <c r="B125" t="s">
        <v>258</v>
      </c>
      <c r="C125" s="12" t="s">
        <v>250</v>
      </c>
      <c r="D125" t="s">
        <v>45</v>
      </c>
      <c r="E125" t="s">
        <v>14</v>
      </c>
      <c r="F125" t="s">
        <v>15</v>
      </c>
      <c r="G125" s="13" t="s">
        <v>16</v>
      </c>
      <c r="H125" s="13" t="s">
        <v>16</v>
      </c>
      <c r="I125" s="13" t="s">
        <v>16</v>
      </c>
      <c r="J125" t="s">
        <v>16</v>
      </c>
      <c r="K125" t="s">
        <v>16</v>
      </c>
      <c r="L125" s="14" t="s">
        <v>16</v>
      </c>
    </row>
    <row r="126" spans="1:12" ht="12.75">
      <c r="A126" s="11" t="s">
        <v>17</v>
      </c>
      <c r="B126" t="s">
        <v>259</v>
      </c>
      <c r="C126" s="12" t="s">
        <v>250</v>
      </c>
      <c r="D126" t="s">
        <v>45</v>
      </c>
      <c r="E126" t="s">
        <v>14</v>
      </c>
      <c r="F126" t="s">
        <v>15</v>
      </c>
      <c r="G126" s="13" t="s">
        <v>16</v>
      </c>
      <c r="H126" s="13" t="s">
        <v>16</v>
      </c>
      <c r="I126" s="13" t="s">
        <v>16</v>
      </c>
      <c r="J126" t="s">
        <v>16</v>
      </c>
      <c r="K126" t="s">
        <v>16</v>
      </c>
      <c r="L126" s="14" t="s">
        <v>16</v>
      </c>
    </row>
    <row r="127" spans="1:12" ht="12.75">
      <c r="A127" s="11" t="s">
        <v>17</v>
      </c>
      <c r="B127" t="s">
        <v>260</v>
      </c>
      <c r="C127" s="12" t="s">
        <v>261</v>
      </c>
      <c r="D127" t="s">
        <v>61</v>
      </c>
      <c r="E127" t="s">
        <v>14</v>
      </c>
      <c r="F127" t="s">
        <v>15</v>
      </c>
      <c r="G127" s="13" t="s">
        <v>16</v>
      </c>
      <c r="H127" s="13" t="s">
        <v>16</v>
      </c>
      <c r="I127" s="13" t="s">
        <v>16</v>
      </c>
      <c r="J127" t="s">
        <v>16</v>
      </c>
      <c r="K127" t="s">
        <v>16</v>
      </c>
      <c r="L127" s="14" t="s">
        <v>16</v>
      </c>
    </row>
    <row r="128" spans="1:12" ht="12.75">
      <c r="A128" s="11" t="s">
        <v>17</v>
      </c>
      <c r="B128" t="s">
        <v>262</v>
      </c>
      <c r="C128" s="12" t="s">
        <v>263</v>
      </c>
      <c r="D128" t="s">
        <v>61</v>
      </c>
      <c r="E128" t="s">
        <v>14</v>
      </c>
      <c r="F128" t="s">
        <v>15</v>
      </c>
      <c r="G128" s="13" t="s">
        <v>16</v>
      </c>
      <c r="H128" s="13" t="s">
        <v>16</v>
      </c>
      <c r="I128" s="13" t="s">
        <v>16</v>
      </c>
      <c r="J128" t="s">
        <v>16</v>
      </c>
      <c r="K128" t="s">
        <v>16</v>
      </c>
      <c r="L128" s="14" t="s">
        <v>16</v>
      </c>
    </row>
    <row r="129" spans="1:12" ht="12.75">
      <c r="A129" s="11" t="s">
        <v>17</v>
      </c>
      <c r="B129" t="s">
        <v>264</v>
      </c>
      <c r="C129" s="12" t="s">
        <v>265</v>
      </c>
      <c r="D129" t="s">
        <v>61</v>
      </c>
      <c r="E129" t="s">
        <v>14</v>
      </c>
      <c r="F129" t="s">
        <v>15</v>
      </c>
      <c r="G129" s="13" t="s">
        <v>16</v>
      </c>
      <c r="H129" s="13" t="s">
        <v>16</v>
      </c>
      <c r="I129" s="13" t="s">
        <v>16</v>
      </c>
      <c r="J129" t="s">
        <v>16</v>
      </c>
      <c r="K129" t="s">
        <v>16</v>
      </c>
      <c r="L129" s="14" t="s">
        <v>16</v>
      </c>
    </row>
    <row r="130" spans="1:12" ht="12.75">
      <c r="A130" s="11" t="s">
        <v>17</v>
      </c>
      <c r="B130" t="s">
        <v>266</v>
      </c>
      <c r="C130" s="12" t="s">
        <v>267</v>
      </c>
      <c r="D130" t="s">
        <v>61</v>
      </c>
      <c r="E130" t="s">
        <v>14</v>
      </c>
      <c r="F130" t="s">
        <v>15</v>
      </c>
      <c r="G130" s="13" t="s">
        <v>16</v>
      </c>
      <c r="H130" s="13" t="s">
        <v>16</v>
      </c>
      <c r="I130" s="13" t="s">
        <v>16</v>
      </c>
      <c r="J130" t="s">
        <v>16</v>
      </c>
      <c r="K130" t="s">
        <v>16</v>
      </c>
      <c r="L130" s="14" t="s">
        <v>16</v>
      </c>
    </row>
    <row r="131" spans="1:12" ht="12.75">
      <c r="A131" s="11" t="s">
        <v>17</v>
      </c>
      <c r="B131" t="s">
        <v>268</v>
      </c>
      <c r="C131" s="12" t="s">
        <v>267</v>
      </c>
      <c r="D131" t="s">
        <v>61</v>
      </c>
      <c r="E131" t="s">
        <v>14</v>
      </c>
      <c r="F131" t="s">
        <v>15</v>
      </c>
      <c r="G131" s="13" t="s">
        <v>16</v>
      </c>
      <c r="H131" s="13" t="s">
        <v>16</v>
      </c>
      <c r="I131" s="13" t="s">
        <v>16</v>
      </c>
      <c r="J131" t="s">
        <v>16</v>
      </c>
      <c r="K131" t="s">
        <v>16</v>
      </c>
      <c r="L131" s="14" t="s">
        <v>16</v>
      </c>
    </row>
    <row r="132" spans="1:12" ht="12.75">
      <c r="A132" s="11" t="s">
        <v>17</v>
      </c>
      <c r="B132" t="s">
        <v>269</v>
      </c>
      <c r="C132" s="12" t="s">
        <v>270</v>
      </c>
      <c r="D132" t="s">
        <v>61</v>
      </c>
      <c r="E132" t="s">
        <v>14</v>
      </c>
      <c r="F132" t="s">
        <v>15</v>
      </c>
      <c r="G132" s="13" t="s">
        <v>16</v>
      </c>
      <c r="H132" s="13" t="s">
        <v>16</v>
      </c>
      <c r="I132" s="13" t="s">
        <v>16</v>
      </c>
      <c r="J132" t="s">
        <v>16</v>
      </c>
      <c r="K132" t="s">
        <v>16</v>
      </c>
      <c r="L132" s="14" t="s">
        <v>16</v>
      </c>
    </row>
    <row r="133" spans="1:12" ht="12.75">
      <c r="A133" s="11" t="s">
        <v>17</v>
      </c>
      <c r="B133" t="s">
        <v>271</v>
      </c>
      <c r="C133" s="12" t="s">
        <v>272</v>
      </c>
      <c r="D133" t="s">
        <v>61</v>
      </c>
      <c r="E133" t="s">
        <v>14</v>
      </c>
      <c r="F133" t="s">
        <v>15</v>
      </c>
      <c r="G133" s="13" t="s">
        <v>16</v>
      </c>
      <c r="H133" s="13" t="s">
        <v>16</v>
      </c>
      <c r="I133" s="13" t="s">
        <v>16</v>
      </c>
      <c r="J133" t="s">
        <v>16</v>
      </c>
      <c r="K133" t="s">
        <v>16</v>
      </c>
      <c r="L133" s="14" t="s">
        <v>16</v>
      </c>
    </row>
    <row r="134" spans="1:12" ht="12.75">
      <c r="A134" s="11" t="s">
        <v>17</v>
      </c>
      <c r="B134" t="s">
        <v>273</v>
      </c>
      <c r="C134" s="12" t="s">
        <v>274</v>
      </c>
      <c r="D134" t="s">
        <v>61</v>
      </c>
      <c r="E134" t="s">
        <v>14</v>
      </c>
      <c r="F134" t="s">
        <v>15</v>
      </c>
      <c r="G134" s="13" t="s">
        <v>16</v>
      </c>
      <c r="H134" s="13" t="s">
        <v>16</v>
      </c>
      <c r="I134" s="13" t="s">
        <v>16</v>
      </c>
      <c r="J134" t="s">
        <v>16</v>
      </c>
      <c r="K134" t="s">
        <v>16</v>
      </c>
      <c r="L134" s="14" t="s">
        <v>16</v>
      </c>
    </row>
    <row r="135" spans="1:12" ht="12.75">
      <c r="A135" s="11" t="s">
        <v>17</v>
      </c>
      <c r="B135" t="s">
        <v>275</v>
      </c>
      <c r="C135" s="12" t="s">
        <v>276</v>
      </c>
      <c r="D135" t="s">
        <v>61</v>
      </c>
      <c r="E135" t="s">
        <v>14</v>
      </c>
      <c r="F135" t="s">
        <v>15</v>
      </c>
      <c r="G135" s="13" t="s">
        <v>16</v>
      </c>
      <c r="H135" s="13" t="s">
        <v>16</v>
      </c>
      <c r="I135" s="13" t="s">
        <v>16</v>
      </c>
      <c r="J135" t="s">
        <v>16</v>
      </c>
      <c r="K135" t="s">
        <v>16</v>
      </c>
      <c r="L135" s="14" t="s">
        <v>16</v>
      </c>
    </row>
    <row r="136" spans="1:12" ht="12.75">
      <c r="A136" s="11" t="s">
        <v>17</v>
      </c>
      <c r="B136" t="s">
        <v>277</v>
      </c>
      <c r="C136" s="12" t="s">
        <v>278</v>
      </c>
      <c r="D136" t="s">
        <v>61</v>
      </c>
      <c r="E136" t="s">
        <v>14</v>
      </c>
      <c r="F136" t="s">
        <v>15</v>
      </c>
      <c r="G136" s="13" t="s">
        <v>16</v>
      </c>
      <c r="H136" s="13" t="s">
        <v>16</v>
      </c>
      <c r="I136" s="13" t="s">
        <v>16</v>
      </c>
      <c r="J136" t="s">
        <v>16</v>
      </c>
      <c r="K136" t="s">
        <v>16</v>
      </c>
      <c r="L136" s="14" t="s">
        <v>16</v>
      </c>
    </row>
    <row r="137" spans="1:12" ht="12.75">
      <c r="A137" s="11" t="s">
        <v>17</v>
      </c>
      <c r="B137" t="s">
        <v>279</v>
      </c>
      <c r="C137" s="12" t="s">
        <v>212</v>
      </c>
      <c r="D137" t="s">
        <v>61</v>
      </c>
      <c r="E137" t="s">
        <v>14</v>
      </c>
      <c r="F137" t="s">
        <v>15</v>
      </c>
      <c r="G137" s="13" t="s">
        <v>16</v>
      </c>
      <c r="H137" s="13" t="s">
        <v>16</v>
      </c>
      <c r="I137" s="13" t="s">
        <v>16</v>
      </c>
      <c r="J137" t="s">
        <v>16</v>
      </c>
      <c r="K137" t="s">
        <v>16</v>
      </c>
      <c r="L137" s="14" t="s">
        <v>16</v>
      </c>
    </row>
    <row r="138" spans="1:12" ht="12.75">
      <c r="A138" s="11" t="s">
        <v>17</v>
      </c>
      <c r="B138" t="s">
        <v>280</v>
      </c>
      <c r="C138" s="12" t="s">
        <v>281</v>
      </c>
      <c r="D138" t="s">
        <v>61</v>
      </c>
      <c r="E138" t="s">
        <v>14</v>
      </c>
      <c r="F138" t="s">
        <v>15</v>
      </c>
      <c r="G138" s="13" t="s">
        <v>16</v>
      </c>
      <c r="H138" s="13" t="s">
        <v>16</v>
      </c>
      <c r="I138" s="13" t="s">
        <v>16</v>
      </c>
      <c r="J138" t="s">
        <v>16</v>
      </c>
      <c r="K138" t="s">
        <v>16</v>
      </c>
      <c r="L138" s="14" t="s">
        <v>16</v>
      </c>
    </row>
    <row r="139" spans="1:12" ht="12.75">
      <c r="A139" s="11" t="s">
        <v>17</v>
      </c>
      <c r="B139" t="s">
        <v>282</v>
      </c>
      <c r="C139" s="12" t="s">
        <v>283</v>
      </c>
      <c r="D139" t="s">
        <v>61</v>
      </c>
      <c r="E139" t="s">
        <v>14</v>
      </c>
      <c r="F139" t="s">
        <v>15</v>
      </c>
      <c r="G139" s="13" t="s">
        <v>16</v>
      </c>
      <c r="H139" s="13" t="s">
        <v>16</v>
      </c>
      <c r="I139" s="13" t="s">
        <v>16</v>
      </c>
      <c r="J139" t="s">
        <v>16</v>
      </c>
      <c r="K139" t="s">
        <v>16</v>
      </c>
      <c r="L139" s="14" t="s">
        <v>16</v>
      </c>
    </row>
    <row r="140" spans="1:12" ht="12.75">
      <c r="A140" s="11" t="s">
        <v>17</v>
      </c>
      <c r="B140" t="s">
        <v>284</v>
      </c>
      <c r="C140" s="12" t="s">
        <v>206</v>
      </c>
      <c r="D140" t="s">
        <v>61</v>
      </c>
      <c r="E140" t="s">
        <v>14</v>
      </c>
      <c r="F140" t="s">
        <v>15</v>
      </c>
      <c r="G140" s="13" t="s">
        <v>16</v>
      </c>
      <c r="H140" s="13" t="s">
        <v>16</v>
      </c>
      <c r="I140" s="13" t="s">
        <v>16</v>
      </c>
      <c r="J140" t="s">
        <v>16</v>
      </c>
      <c r="K140" t="s">
        <v>16</v>
      </c>
      <c r="L140" s="14" t="s">
        <v>16</v>
      </c>
    </row>
    <row r="141" spans="1:12" ht="12.75">
      <c r="A141" s="11" t="s">
        <v>17</v>
      </c>
      <c r="B141" t="s">
        <v>285</v>
      </c>
      <c r="C141" s="12" t="s">
        <v>286</v>
      </c>
      <c r="D141" t="s">
        <v>61</v>
      </c>
      <c r="E141" t="s">
        <v>14</v>
      </c>
      <c r="F141" t="s">
        <v>15</v>
      </c>
      <c r="G141" s="13" t="s">
        <v>16</v>
      </c>
      <c r="H141" s="13" t="s">
        <v>16</v>
      </c>
      <c r="I141" s="13" t="s">
        <v>16</v>
      </c>
      <c r="J141" t="s">
        <v>16</v>
      </c>
      <c r="K141" t="s">
        <v>16</v>
      </c>
      <c r="L141" s="14" t="s">
        <v>16</v>
      </c>
    </row>
    <row r="142" spans="1:12" ht="12.75">
      <c r="A142" s="11" t="s">
        <v>17</v>
      </c>
      <c r="B142" t="s">
        <v>287</v>
      </c>
      <c r="C142" s="12" t="s">
        <v>288</v>
      </c>
      <c r="D142" t="s">
        <v>61</v>
      </c>
      <c r="E142" t="s">
        <v>14</v>
      </c>
      <c r="F142" t="s">
        <v>15</v>
      </c>
      <c r="G142" s="13" t="s">
        <v>16</v>
      </c>
      <c r="H142" s="13" t="s">
        <v>16</v>
      </c>
      <c r="I142" s="13" t="s">
        <v>16</v>
      </c>
      <c r="J142" t="s">
        <v>16</v>
      </c>
      <c r="K142" t="s">
        <v>16</v>
      </c>
      <c r="L142" s="14" t="s">
        <v>16</v>
      </c>
    </row>
    <row r="143" spans="1:12" ht="12.75">
      <c r="A143" s="11" t="s">
        <v>17</v>
      </c>
      <c r="B143" t="s">
        <v>289</v>
      </c>
      <c r="C143" s="12">
        <v>17775</v>
      </c>
      <c r="D143" t="s">
        <v>47</v>
      </c>
      <c r="E143" t="s">
        <v>14</v>
      </c>
      <c r="F143" t="s">
        <v>15</v>
      </c>
      <c r="G143" s="13" t="s">
        <v>16</v>
      </c>
      <c r="H143" s="13" t="s">
        <v>16</v>
      </c>
      <c r="I143" s="13" t="s">
        <v>16</v>
      </c>
      <c r="J143" t="s">
        <v>16</v>
      </c>
      <c r="K143" t="s">
        <v>16</v>
      </c>
      <c r="L143" s="14" t="s">
        <v>16</v>
      </c>
    </row>
    <row r="144" spans="1:12" ht="12.75">
      <c r="A144" s="11" t="s">
        <v>17</v>
      </c>
      <c r="B144" t="s">
        <v>290</v>
      </c>
      <c r="C144" s="12">
        <v>17792</v>
      </c>
      <c r="D144" t="s">
        <v>47</v>
      </c>
      <c r="E144" t="s">
        <v>14</v>
      </c>
      <c r="F144" t="s">
        <v>15</v>
      </c>
      <c r="G144" s="13" t="s">
        <v>16</v>
      </c>
      <c r="H144" t="s">
        <v>16</v>
      </c>
      <c r="I144" s="13" t="s">
        <v>16</v>
      </c>
      <c r="J144" t="s">
        <v>16</v>
      </c>
      <c r="K144" t="s">
        <v>16</v>
      </c>
      <c r="L144" s="14" t="s">
        <v>16</v>
      </c>
    </row>
    <row r="145" spans="1:12" ht="12.75">
      <c r="A145" s="11" t="s">
        <v>17</v>
      </c>
      <c r="B145" t="s">
        <v>291</v>
      </c>
      <c r="C145" s="12" t="s">
        <v>292</v>
      </c>
      <c r="D145" t="s">
        <v>47</v>
      </c>
      <c r="E145" t="s">
        <v>14</v>
      </c>
      <c r="F145" t="s">
        <v>15</v>
      </c>
      <c r="G145" s="13" t="s">
        <v>16</v>
      </c>
      <c r="H145" s="13" t="s">
        <v>16</v>
      </c>
      <c r="I145" s="13" t="s">
        <v>16</v>
      </c>
      <c r="J145" t="s">
        <v>16</v>
      </c>
      <c r="K145" t="s">
        <v>16</v>
      </c>
      <c r="L145" s="14" t="s">
        <v>16</v>
      </c>
    </row>
    <row r="146" spans="1:12" ht="12.75">
      <c r="A146" s="11" t="s">
        <v>17</v>
      </c>
      <c r="B146" t="s">
        <v>293</v>
      </c>
      <c r="C146" s="12" t="s">
        <v>294</v>
      </c>
      <c r="D146" t="s">
        <v>47</v>
      </c>
      <c r="E146" t="s">
        <v>14</v>
      </c>
      <c r="F146" t="s">
        <v>15</v>
      </c>
      <c r="G146" s="13" t="s">
        <v>16</v>
      </c>
      <c r="H146" s="13" t="s">
        <v>16</v>
      </c>
      <c r="I146" s="13" t="s">
        <v>16</v>
      </c>
      <c r="J146" t="s">
        <v>16</v>
      </c>
      <c r="K146" t="s">
        <v>16</v>
      </c>
      <c r="L146" s="14" t="s">
        <v>16</v>
      </c>
    </row>
    <row r="147" spans="1:12" ht="12.75">
      <c r="A147" s="11" t="s">
        <v>17</v>
      </c>
      <c r="B147" t="s">
        <v>295</v>
      </c>
      <c r="C147" s="12" t="s">
        <v>296</v>
      </c>
      <c r="D147" t="s">
        <v>53</v>
      </c>
      <c r="E147" t="s">
        <v>14</v>
      </c>
      <c r="F147" t="s">
        <v>15</v>
      </c>
      <c r="G147" s="13" t="s">
        <v>16</v>
      </c>
      <c r="H147" s="13" t="s">
        <v>16</v>
      </c>
      <c r="I147" s="13" t="s">
        <v>16</v>
      </c>
      <c r="J147" t="s">
        <v>16</v>
      </c>
      <c r="K147" t="s">
        <v>16</v>
      </c>
      <c r="L147" s="14" t="s">
        <v>16</v>
      </c>
    </row>
    <row r="148" spans="1:12" ht="12.75">
      <c r="A148" s="11" t="s">
        <v>17</v>
      </c>
      <c r="B148" t="s">
        <v>297</v>
      </c>
      <c r="C148" s="12" t="s">
        <v>296</v>
      </c>
      <c r="D148" t="s">
        <v>53</v>
      </c>
      <c r="E148" t="s">
        <v>14</v>
      </c>
      <c r="F148" t="s">
        <v>15</v>
      </c>
      <c r="G148" s="13" t="s">
        <v>16</v>
      </c>
      <c r="H148" s="13" t="s">
        <v>16</v>
      </c>
      <c r="I148" s="13" t="s">
        <v>16</v>
      </c>
      <c r="J148" t="s">
        <v>16</v>
      </c>
      <c r="K148" t="s">
        <v>16</v>
      </c>
      <c r="L148" s="14" t="s">
        <v>16</v>
      </c>
    </row>
    <row r="149" spans="1:12" ht="12.75">
      <c r="A149" s="11" t="s">
        <v>17</v>
      </c>
      <c r="B149" t="s">
        <v>298</v>
      </c>
      <c r="C149" s="12" t="s">
        <v>296</v>
      </c>
      <c r="D149" t="s">
        <v>53</v>
      </c>
      <c r="E149" t="s">
        <v>14</v>
      </c>
      <c r="F149" t="s">
        <v>15</v>
      </c>
      <c r="G149" s="13" t="s">
        <v>16</v>
      </c>
      <c r="H149" s="13" t="s">
        <v>16</v>
      </c>
      <c r="I149" s="13" t="s">
        <v>16</v>
      </c>
      <c r="J149" t="s">
        <v>16</v>
      </c>
      <c r="K149" t="s">
        <v>16</v>
      </c>
      <c r="L149" s="14" t="s">
        <v>16</v>
      </c>
    </row>
    <row r="150" spans="1:12" ht="12.75">
      <c r="A150" s="11" t="s">
        <v>17</v>
      </c>
      <c r="B150" t="s">
        <v>299</v>
      </c>
      <c r="C150" s="12" t="s">
        <v>296</v>
      </c>
      <c r="D150" t="s">
        <v>53</v>
      </c>
      <c r="E150" t="s">
        <v>14</v>
      </c>
      <c r="F150" t="s">
        <v>15</v>
      </c>
      <c r="G150" s="13" t="s">
        <v>16</v>
      </c>
      <c r="H150" s="13" t="s">
        <v>16</v>
      </c>
      <c r="I150" s="13" t="s">
        <v>16</v>
      </c>
      <c r="J150" t="s">
        <v>16</v>
      </c>
      <c r="K150" t="s">
        <v>16</v>
      </c>
      <c r="L150" s="14" t="s">
        <v>16</v>
      </c>
    </row>
    <row r="151" spans="1:12" ht="12.75">
      <c r="A151" s="11" t="s">
        <v>17</v>
      </c>
      <c r="B151" t="s">
        <v>300</v>
      </c>
      <c r="C151" s="12" t="s">
        <v>301</v>
      </c>
      <c r="D151" t="s">
        <v>53</v>
      </c>
      <c r="E151" t="s">
        <v>14</v>
      </c>
      <c r="F151" t="s">
        <v>15</v>
      </c>
      <c r="G151" s="13" t="s">
        <v>16</v>
      </c>
      <c r="H151" s="13" t="s">
        <v>16</v>
      </c>
      <c r="I151" s="13" t="s">
        <v>16</v>
      </c>
      <c r="J151" t="s">
        <v>16</v>
      </c>
      <c r="K151" t="s">
        <v>16</v>
      </c>
      <c r="L151" s="14" t="s">
        <v>16</v>
      </c>
    </row>
    <row r="152" spans="1:12" ht="12.75">
      <c r="A152" s="11" t="s">
        <v>17</v>
      </c>
      <c r="B152" t="s">
        <v>302</v>
      </c>
      <c r="C152" s="12" t="s">
        <v>303</v>
      </c>
      <c r="D152" t="s">
        <v>53</v>
      </c>
      <c r="E152" t="s">
        <v>14</v>
      </c>
      <c r="F152" t="s">
        <v>15</v>
      </c>
      <c r="G152" s="13" t="s">
        <v>16</v>
      </c>
      <c r="H152" s="13" t="s">
        <v>16</v>
      </c>
      <c r="I152" s="13" t="s">
        <v>16</v>
      </c>
      <c r="J152" t="s">
        <v>16</v>
      </c>
      <c r="K152" t="s">
        <v>16</v>
      </c>
      <c r="L152" s="14" t="s">
        <v>16</v>
      </c>
    </row>
    <row r="153" spans="1:12" ht="12.75">
      <c r="A153" s="11" t="s">
        <v>17</v>
      </c>
      <c r="B153" t="s">
        <v>304</v>
      </c>
      <c r="C153" s="12" t="s">
        <v>305</v>
      </c>
      <c r="D153" t="s">
        <v>53</v>
      </c>
      <c r="E153" t="s">
        <v>14</v>
      </c>
      <c r="F153" t="s">
        <v>15</v>
      </c>
      <c r="G153" s="13" t="s">
        <v>16</v>
      </c>
      <c r="H153" s="13" t="s">
        <v>16</v>
      </c>
      <c r="I153" s="13" t="s">
        <v>16</v>
      </c>
      <c r="J153" t="s">
        <v>16</v>
      </c>
      <c r="K153" t="s">
        <v>16</v>
      </c>
      <c r="L153" s="14" t="s">
        <v>16</v>
      </c>
    </row>
    <row r="154" spans="1:12" ht="12.75">
      <c r="A154" s="11" t="s">
        <v>17</v>
      </c>
      <c r="B154" t="s">
        <v>306</v>
      </c>
      <c r="C154" s="12" t="s">
        <v>307</v>
      </c>
      <c r="D154" t="s">
        <v>53</v>
      </c>
      <c r="E154" t="s">
        <v>14</v>
      </c>
      <c r="F154" t="s">
        <v>15</v>
      </c>
      <c r="G154" s="13" t="s">
        <v>16</v>
      </c>
      <c r="H154" s="13" t="s">
        <v>16</v>
      </c>
      <c r="I154" s="13" t="s">
        <v>16</v>
      </c>
      <c r="J154" t="s">
        <v>16</v>
      </c>
      <c r="K154" t="s">
        <v>16</v>
      </c>
      <c r="L154" s="14" t="s">
        <v>16</v>
      </c>
    </row>
    <row r="155" spans="1:12" ht="12.75">
      <c r="A155" s="11" t="s">
        <v>17</v>
      </c>
      <c r="B155" t="s">
        <v>308</v>
      </c>
      <c r="C155" s="12" t="s">
        <v>309</v>
      </c>
      <c r="D155" t="s">
        <v>53</v>
      </c>
      <c r="E155" t="s">
        <v>14</v>
      </c>
      <c r="F155" t="s">
        <v>15</v>
      </c>
      <c r="G155" s="13" t="s">
        <v>16</v>
      </c>
      <c r="H155" s="13" t="s">
        <v>16</v>
      </c>
      <c r="I155" s="13" t="s">
        <v>16</v>
      </c>
      <c r="J155" t="s">
        <v>16</v>
      </c>
      <c r="K155" t="s">
        <v>16</v>
      </c>
      <c r="L155" s="14" t="s">
        <v>16</v>
      </c>
    </row>
    <row r="156" spans="1:12" ht="12.75">
      <c r="A156" s="11" t="s">
        <v>17</v>
      </c>
      <c r="B156" t="s">
        <v>310</v>
      </c>
      <c r="C156" s="12" t="s">
        <v>309</v>
      </c>
      <c r="D156" t="s">
        <v>53</v>
      </c>
      <c r="E156" t="s">
        <v>14</v>
      </c>
      <c r="F156" t="s">
        <v>15</v>
      </c>
      <c r="G156" s="13" t="s">
        <v>16</v>
      </c>
      <c r="H156" s="13" t="s">
        <v>16</v>
      </c>
      <c r="I156" s="13" t="s">
        <v>16</v>
      </c>
      <c r="J156" t="s">
        <v>16</v>
      </c>
      <c r="K156" t="s">
        <v>16</v>
      </c>
      <c r="L156" s="14" t="s">
        <v>16</v>
      </c>
    </row>
    <row r="157" spans="1:12" ht="12.75">
      <c r="A157" s="11" t="s">
        <v>17</v>
      </c>
      <c r="B157" t="s">
        <v>311</v>
      </c>
      <c r="C157" s="12" t="s">
        <v>309</v>
      </c>
      <c r="D157" t="s">
        <v>53</v>
      </c>
      <c r="E157" t="s">
        <v>14</v>
      </c>
      <c r="F157" t="s">
        <v>15</v>
      </c>
      <c r="G157" s="13" t="s">
        <v>16</v>
      </c>
      <c r="H157" s="13" t="s">
        <v>16</v>
      </c>
      <c r="I157" s="13" t="s">
        <v>16</v>
      </c>
      <c r="J157" t="s">
        <v>16</v>
      </c>
      <c r="K157" t="s">
        <v>16</v>
      </c>
      <c r="L157" s="14" t="s">
        <v>16</v>
      </c>
    </row>
    <row r="158" spans="1:12" ht="12.75">
      <c r="A158" s="11" t="s">
        <v>17</v>
      </c>
      <c r="B158" t="s">
        <v>312</v>
      </c>
      <c r="C158" s="12" t="s">
        <v>309</v>
      </c>
      <c r="D158" t="s">
        <v>53</v>
      </c>
      <c r="E158" t="s">
        <v>14</v>
      </c>
      <c r="F158" t="s">
        <v>15</v>
      </c>
      <c r="G158" s="13" t="s">
        <v>16</v>
      </c>
      <c r="H158" s="13" t="s">
        <v>16</v>
      </c>
      <c r="I158" s="13" t="s">
        <v>16</v>
      </c>
      <c r="J158" t="s">
        <v>16</v>
      </c>
      <c r="K158" t="s">
        <v>16</v>
      </c>
      <c r="L158" s="14" t="s">
        <v>16</v>
      </c>
    </row>
    <row r="159" spans="1:12" ht="12.75">
      <c r="A159" s="11" t="s">
        <v>17</v>
      </c>
      <c r="B159" t="s">
        <v>313</v>
      </c>
      <c r="C159" s="12" t="s">
        <v>309</v>
      </c>
      <c r="D159" t="s">
        <v>53</v>
      </c>
      <c r="E159" t="s">
        <v>14</v>
      </c>
      <c r="F159" t="s">
        <v>15</v>
      </c>
      <c r="G159" s="13" t="s">
        <v>16</v>
      </c>
      <c r="H159" s="13" t="s">
        <v>16</v>
      </c>
      <c r="I159" s="13" t="s">
        <v>16</v>
      </c>
      <c r="J159" t="s">
        <v>16</v>
      </c>
      <c r="K159" t="s">
        <v>16</v>
      </c>
      <c r="L159" s="14" t="s">
        <v>16</v>
      </c>
    </row>
    <row r="160" spans="1:12" ht="12.75">
      <c r="A160" s="11" t="s">
        <v>17</v>
      </c>
      <c r="B160" t="s">
        <v>314</v>
      </c>
      <c r="C160" s="12" t="s">
        <v>309</v>
      </c>
      <c r="D160" t="s">
        <v>53</v>
      </c>
      <c r="E160" t="s">
        <v>14</v>
      </c>
      <c r="F160" t="s">
        <v>15</v>
      </c>
      <c r="G160" s="13" t="s">
        <v>16</v>
      </c>
      <c r="H160" s="13" t="s">
        <v>16</v>
      </c>
      <c r="I160" s="13" t="s">
        <v>16</v>
      </c>
      <c r="J160" t="s">
        <v>16</v>
      </c>
      <c r="K160" t="s">
        <v>16</v>
      </c>
      <c r="L160" s="14" t="s">
        <v>16</v>
      </c>
    </row>
    <row r="161" spans="1:12" ht="12.75">
      <c r="A161" s="11" t="s">
        <v>17</v>
      </c>
      <c r="B161" t="s">
        <v>315</v>
      </c>
      <c r="C161" s="12" t="s">
        <v>309</v>
      </c>
      <c r="D161" t="s">
        <v>53</v>
      </c>
      <c r="E161" t="s">
        <v>14</v>
      </c>
      <c r="F161" t="s">
        <v>15</v>
      </c>
      <c r="G161" s="13" t="s">
        <v>16</v>
      </c>
      <c r="H161" s="13" t="s">
        <v>16</v>
      </c>
      <c r="I161" s="13" t="s">
        <v>16</v>
      </c>
      <c r="J161" t="s">
        <v>16</v>
      </c>
      <c r="K161" t="s">
        <v>16</v>
      </c>
      <c r="L161" s="14" t="s">
        <v>16</v>
      </c>
    </row>
    <row r="162" spans="1:12" ht="12.75">
      <c r="A162" s="11" t="s">
        <v>17</v>
      </c>
      <c r="B162" t="s">
        <v>316</v>
      </c>
      <c r="C162" s="12" t="s">
        <v>309</v>
      </c>
      <c r="D162" t="s">
        <v>53</v>
      </c>
      <c r="E162" t="s">
        <v>14</v>
      </c>
      <c r="F162" t="s">
        <v>15</v>
      </c>
      <c r="G162" s="13" t="s">
        <v>16</v>
      </c>
      <c r="H162" s="13" t="s">
        <v>16</v>
      </c>
      <c r="I162" s="13" t="s">
        <v>16</v>
      </c>
      <c r="J162" t="s">
        <v>16</v>
      </c>
      <c r="K162" t="s">
        <v>16</v>
      </c>
      <c r="L162" s="14" t="s">
        <v>16</v>
      </c>
    </row>
    <row r="163" spans="1:12" ht="12.75">
      <c r="A163" s="11" t="s">
        <v>17</v>
      </c>
      <c r="B163" t="s">
        <v>317</v>
      </c>
      <c r="C163" s="12" t="s">
        <v>309</v>
      </c>
      <c r="D163" t="s">
        <v>53</v>
      </c>
      <c r="E163" t="s">
        <v>14</v>
      </c>
      <c r="F163" t="s">
        <v>15</v>
      </c>
      <c r="G163" s="13" t="s">
        <v>16</v>
      </c>
      <c r="H163" s="13" t="s">
        <v>16</v>
      </c>
      <c r="I163" s="13" t="s">
        <v>16</v>
      </c>
      <c r="J163" t="s">
        <v>16</v>
      </c>
      <c r="K163" t="s">
        <v>16</v>
      </c>
      <c r="L163" s="14" t="s">
        <v>16</v>
      </c>
    </row>
    <row r="164" spans="1:12" ht="12.75">
      <c r="A164" s="11" t="s">
        <v>17</v>
      </c>
      <c r="B164" t="s">
        <v>318</v>
      </c>
      <c r="C164" s="12" t="s">
        <v>307</v>
      </c>
      <c r="D164" t="s">
        <v>53</v>
      </c>
      <c r="E164" t="s">
        <v>14</v>
      </c>
      <c r="F164" t="s">
        <v>15</v>
      </c>
      <c r="G164" s="13" t="s">
        <v>16</v>
      </c>
      <c r="H164" s="13" t="s">
        <v>16</v>
      </c>
      <c r="I164" s="13" t="s">
        <v>16</v>
      </c>
      <c r="J164" t="s">
        <v>16</v>
      </c>
      <c r="K164" t="s">
        <v>16</v>
      </c>
      <c r="L164" s="14" t="s">
        <v>16</v>
      </c>
    </row>
    <row r="165" spans="1:12" ht="12.75">
      <c r="A165" s="11" t="s">
        <v>17</v>
      </c>
      <c r="B165" t="s">
        <v>319</v>
      </c>
      <c r="C165" s="12" t="s">
        <v>307</v>
      </c>
      <c r="D165" t="s">
        <v>53</v>
      </c>
      <c r="E165" t="s">
        <v>14</v>
      </c>
      <c r="F165" t="s">
        <v>15</v>
      </c>
      <c r="G165" s="13" t="s">
        <v>16</v>
      </c>
      <c r="H165" s="13" t="s">
        <v>16</v>
      </c>
      <c r="I165" s="13" t="s">
        <v>16</v>
      </c>
      <c r="J165" t="s">
        <v>16</v>
      </c>
      <c r="K165" t="s">
        <v>16</v>
      </c>
      <c r="L165" s="14" t="s">
        <v>16</v>
      </c>
    </row>
    <row r="166" spans="1:12" ht="12.75">
      <c r="A166" s="11" t="s">
        <v>17</v>
      </c>
      <c r="B166" t="s">
        <v>320</v>
      </c>
      <c r="C166" s="12" t="s">
        <v>307</v>
      </c>
      <c r="D166" t="s">
        <v>53</v>
      </c>
      <c r="E166" t="s">
        <v>14</v>
      </c>
      <c r="F166" t="s">
        <v>15</v>
      </c>
      <c r="G166" s="13" t="s">
        <v>16</v>
      </c>
      <c r="H166" s="13" t="s">
        <v>16</v>
      </c>
      <c r="I166" s="13" t="s">
        <v>16</v>
      </c>
      <c r="J166" t="s">
        <v>16</v>
      </c>
      <c r="K166" t="s">
        <v>16</v>
      </c>
      <c r="L166" s="14" t="s">
        <v>16</v>
      </c>
    </row>
    <row r="167" spans="1:12" ht="12.75">
      <c r="A167" s="11" t="s">
        <v>17</v>
      </c>
      <c r="B167" t="s">
        <v>321</v>
      </c>
      <c r="C167" s="12" t="s">
        <v>307</v>
      </c>
      <c r="D167" t="s">
        <v>53</v>
      </c>
      <c r="E167" t="s">
        <v>14</v>
      </c>
      <c r="F167" t="s">
        <v>15</v>
      </c>
      <c r="G167" s="13" t="s">
        <v>16</v>
      </c>
      <c r="H167" s="13" t="s">
        <v>16</v>
      </c>
      <c r="I167" s="13" t="s">
        <v>16</v>
      </c>
      <c r="J167" t="s">
        <v>16</v>
      </c>
      <c r="K167" t="s">
        <v>16</v>
      </c>
      <c r="L167" s="14" t="s">
        <v>16</v>
      </c>
    </row>
    <row r="168" spans="1:12" ht="12.75">
      <c r="A168" s="11" t="s">
        <v>17</v>
      </c>
      <c r="B168" t="s">
        <v>322</v>
      </c>
      <c r="C168" s="12" t="s">
        <v>323</v>
      </c>
      <c r="D168" t="s">
        <v>53</v>
      </c>
      <c r="E168" t="s">
        <v>14</v>
      </c>
      <c r="F168" t="s">
        <v>15</v>
      </c>
      <c r="G168" s="13" t="s">
        <v>16</v>
      </c>
      <c r="H168" s="13" t="s">
        <v>16</v>
      </c>
      <c r="I168" s="13" t="s">
        <v>16</v>
      </c>
      <c r="J168" t="s">
        <v>16</v>
      </c>
      <c r="K168" t="s">
        <v>16</v>
      </c>
      <c r="L168" s="14" t="s">
        <v>16</v>
      </c>
    </row>
    <row r="169" spans="1:12" ht="12.75">
      <c r="A169" s="11" t="s">
        <v>17</v>
      </c>
      <c r="B169" t="s">
        <v>324</v>
      </c>
      <c r="C169" s="12" t="s">
        <v>325</v>
      </c>
      <c r="D169" t="s">
        <v>53</v>
      </c>
      <c r="E169" t="s">
        <v>14</v>
      </c>
      <c r="F169" t="s">
        <v>15</v>
      </c>
      <c r="G169" s="13" t="s">
        <v>16</v>
      </c>
      <c r="H169" s="13" t="s">
        <v>16</v>
      </c>
      <c r="I169" s="13" t="s">
        <v>16</v>
      </c>
      <c r="J169" t="s">
        <v>16</v>
      </c>
      <c r="K169" t="s">
        <v>16</v>
      </c>
      <c r="L169" s="14" t="s">
        <v>16</v>
      </c>
    </row>
    <row r="170" spans="1:12" ht="12.75">
      <c r="A170" s="11" t="s">
        <v>17</v>
      </c>
      <c r="B170" t="s">
        <v>326</v>
      </c>
      <c r="C170" s="12" t="s">
        <v>327</v>
      </c>
      <c r="D170" t="s">
        <v>53</v>
      </c>
      <c r="E170" t="s">
        <v>14</v>
      </c>
      <c r="F170" t="s">
        <v>15</v>
      </c>
      <c r="G170" s="13" t="s">
        <v>16</v>
      </c>
      <c r="H170" s="13" t="s">
        <v>16</v>
      </c>
      <c r="I170" s="13" t="s">
        <v>16</v>
      </c>
      <c r="J170" t="s">
        <v>16</v>
      </c>
      <c r="K170" t="s">
        <v>16</v>
      </c>
      <c r="L170" s="14" t="s">
        <v>16</v>
      </c>
    </row>
    <row r="171" spans="1:12" ht="12.75">
      <c r="A171" s="11" t="s">
        <v>17</v>
      </c>
      <c r="B171" t="s">
        <v>328</v>
      </c>
      <c r="C171" s="12" t="s">
        <v>329</v>
      </c>
      <c r="D171" t="s">
        <v>53</v>
      </c>
      <c r="E171" t="s">
        <v>14</v>
      </c>
      <c r="F171" t="s">
        <v>15</v>
      </c>
      <c r="G171" s="13" t="s">
        <v>16</v>
      </c>
      <c r="H171" s="13" t="s">
        <v>16</v>
      </c>
      <c r="I171" s="13" t="s">
        <v>16</v>
      </c>
      <c r="J171" t="s">
        <v>16</v>
      </c>
      <c r="K171" t="s">
        <v>16</v>
      </c>
      <c r="L171" s="14" t="s">
        <v>16</v>
      </c>
    </row>
    <row r="172" spans="1:12" ht="12.75">
      <c r="A172" s="11" t="s">
        <v>17</v>
      </c>
      <c r="B172" t="s">
        <v>330</v>
      </c>
      <c r="C172" s="12" t="s">
        <v>331</v>
      </c>
      <c r="D172" t="s">
        <v>53</v>
      </c>
      <c r="E172" t="s">
        <v>14</v>
      </c>
      <c r="F172" t="s">
        <v>15</v>
      </c>
      <c r="G172" s="13" t="s">
        <v>16</v>
      </c>
      <c r="H172" s="13" t="s">
        <v>16</v>
      </c>
      <c r="I172" s="13" t="s">
        <v>16</v>
      </c>
      <c r="J172" t="s">
        <v>16</v>
      </c>
      <c r="K172" t="s">
        <v>16</v>
      </c>
      <c r="L172" s="14" t="s">
        <v>16</v>
      </c>
    </row>
    <row r="173" spans="1:12" ht="12.75">
      <c r="A173" s="11" t="s">
        <v>17</v>
      </c>
      <c r="B173" t="s">
        <v>332</v>
      </c>
      <c r="C173" s="12" t="s">
        <v>333</v>
      </c>
      <c r="D173" t="s">
        <v>62</v>
      </c>
      <c r="E173" t="s">
        <v>14</v>
      </c>
      <c r="F173" t="s">
        <v>15</v>
      </c>
      <c r="G173" s="13" t="s">
        <v>16</v>
      </c>
      <c r="H173" s="13" t="s">
        <v>16</v>
      </c>
      <c r="I173" s="13" t="s">
        <v>16</v>
      </c>
      <c r="J173" t="s">
        <v>16</v>
      </c>
      <c r="K173" t="s">
        <v>16</v>
      </c>
      <c r="L173" s="14" t="s">
        <v>16</v>
      </c>
    </row>
    <row r="174" spans="1:12" ht="12.75">
      <c r="A174" s="11" t="s">
        <v>17</v>
      </c>
      <c r="B174" t="s">
        <v>334</v>
      </c>
      <c r="C174" s="12" t="s">
        <v>335</v>
      </c>
      <c r="D174" t="s">
        <v>62</v>
      </c>
      <c r="E174" t="s">
        <v>14</v>
      </c>
      <c r="F174" t="s">
        <v>15</v>
      </c>
      <c r="G174" s="13" t="s">
        <v>16</v>
      </c>
      <c r="H174" s="13" t="s">
        <v>16</v>
      </c>
      <c r="I174" s="13" t="s">
        <v>16</v>
      </c>
      <c r="J174" t="s">
        <v>16</v>
      </c>
      <c r="K174" t="s">
        <v>16</v>
      </c>
      <c r="L174" s="14" t="s">
        <v>16</v>
      </c>
    </row>
    <row r="175" spans="1:12" ht="12.75">
      <c r="A175" s="11" t="s">
        <v>17</v>
      </c>
      <c r="B175" t="s">
        <v>336</v>
      </c>
      <c r="C175" s="12" t="s">
        <v>335</v>
      </c>
      <c r="D175" t="s">
        <v>62</v>
      </c>
      <c r="E175" t="s">
        <v>14</v>
      </c>
      <c r="F175" t="s">
        <v>15</v>
      </c>
      <c r="G175" s="13" t="s">
        <v>16</v>
      </c>
      <c r="H175" s="13" t="s">
        <v>16</v>
      </c>
      <c r="I175" s="13" t="s">
        <v>16</v>
      </c>
      <c r="J175" t="s">
        <v>16</v>
      </c>
      <c r="K175" t="s">
        <v>16</v>
      </c>
      <c r="L175" s="14" t="s">
        <v>16</v>
      </c>
    </row>
    <row r="176" spans="1:12" ht="12.75">
      <c r="A176" s="11" t="s">
        <v>17</v>
      </c>
      <c r="B176" t="s">
        <v>337</v>
      </c>
      <c r="C176" s="12" t="s">
        <v>338</v>
      </c>
      <c r="D176" t="s">
        <v>62</v>
      </c>
      <c r="E176" t="s">
        <v>14</v>
      </c>
      <c r="F176" t="s">
        <v>15</v>
      </c>
      <c r="G176" s="13" t="s">
        <v>16</v>
      </c>
      <c r="H176" s="13" t="s">
        <v>16</v>
      </c>
      <c r="I176" s="13" t="s">
        <v>16</v>
      </c>
      <c r="J176" t="s">
        <v>16</v>
      </c>
      <c r="K176" t="s">
        <v>16</v>
      </c>
      <c r="L176" s="14" t="s">
        <v>16</v>
      </c>
    </row>
    <row r="177" spans="1:12" ht="12.75">
      <c r="A177" s="11" t="s">
        <v>17</v>
      </c>
      <c r="B177" t="s">
        <v>339</v>
      </c>
      <c r="C177" s="12" t="s">
        <v>340</v>
      </c>
      <c r="D177" t="s">
        <v>62</v>
      </c>
      <c r="E177" t="s">
        <v>14</v>
      </c>
      <c r="F177" t="s">
        <v>15</v>
      </c>
      <c r="G177" s="13" t="s">
        <v>16</v>
      </c>
      <c r="H177" s="13" t="s">
        <v>16</v>
      </c>
      <c r="I177" s="13" t="s">
        <v>16</v>
      </c>
      <c r="J177" t="s">
        <v>16</v>
      </c>
      <c r="K177" t="s">
        <v>16</v>
      </c>
      <c r="L177" s="14" t="s">
        <v>16</v>
      </c>
    </row>
    <row r="178" spans="1:12" ht="12.75">
      <c r="A178" s="11" t="s">
        <v>17</v>
      </c>
      <c r="B178" t="s">
        <v>341</v>
      </c>
      <c r="C178" s="12" t="s">
        <v>338</v>
      </c>
      <c r="D178" t="s">
        <v>62</v>
      </c>
      <c r="E178" t="s">
        <v>14</v>
      </c>
      <c r="F178" t="s">
        <v>15</v>
      </c>
      <c r="G178" s="13" t="s">
        <v>16</v>
      </c>
      <c r="H178" s="13" t="s">
        <v>16</v>
      </c>
      <c r="I178" s="13" t="s">
        <v>16</v>
      </c>
      <c r="J178" t="s">
        <v>16</v>
      </c>
      <c r="K178" t="s">
        <v>16</v>
      </c>
      <c r="L178" s="14" t="s">
        <v>16</v>
      </c>
    </row>
    <row r="179" spans="1:12" ht="12.75">
      <c r="A179" s="11" t="s">
        <v>17</v>
      </c>
      <c r="B179" t="s">
        <v>342</v>
      </c>
      <c r="C179" s="12" t="s">
        <v>343</v>
      </c>
      <c r="D179" t="s">
        <v>62</v>
      </c>
      <c r="E179" t="s">
        <v>14</v>
      </c>
      <c r="F179" t="s">
        <v>15</v>
      </c>
      <c r="G179" s="13" t="s">
        <v>16</v>
      </c>
      <c r="H179" s="13" t="s">
        <v>16</v>
      </c>
      <c r="I179" s="13" t="s">
        <v>16</v>
      </c>
      <c r="J179" t="s">
        <v>16</v>
      </c>
      <c r="K179" t="s">
        <v>16</v>
      </c>
      <c r="L179" s="14" t="s">
        <v>16</v>
      </c>
    </row>
    <row r="180" spans="1:12" ht="12.75">
      <c r="A180" s="11" t="s">
        <v>17</v>
      </c>
      <c r="B180" t="s">
        <v>344</v>
      </c>
      <c r="C180" s="12" t="s">
        <v>340</v>
      </c>
      <c r="D180" t="s">
        <v>62</v>
      </c>
      <c r="E180" t="s">
        <v>14</v>
      </c>
      <c r="F180" t="s">
        <v>15</v>
      </c>
      <c r="G180" s="13" t="s">
        <v>16</v>
      </c>
      <c r="H180" s="13" t="s">
        <v>16</v>
      </c>
      <c r="I180" s="13" t="s">
        <v>16</v>
      </c>
      <c r="J180" t="s">
        <v>16</v>
      </c>
      <c r="K180" t="s">
        <v>16</v>
      </c>
      <c r="L180" s="14" t="s">
        <v>16</v>
      </c>
    </row>
    <row r="181" spans="1:12" ht="12.75">
      <c r="A181" s="11" t="s">
        <v>17</v>
      </c>
      <c r="B181" t="s">
        <v>345</v>
      </c>
      <c r="C181" s="12" t="s">
        <v>346</v>
      </c>
      <c r="D181" t="s">
        <v>62</v>
      </c>
      <c r="E181" t="s">
        <v>14</v>
      </c>
      <c r="F181" t="s">
        <v>15</v>
      </c>
      <c r="G181" s="13" t="s">
        <v>16</v>
      </c>
      <c r="H181" s="13" t="s">
        <v>16</v>
      </c>
      <c r="I181" s="13" t="s">
        <v>16</v>
      </c>
      <c r="J181" t="s">
        <v>16</v>
      </c>
      <c r="K181" t="s">
        <v>16</v>
      </c>
      <c r="L181" s="14" t="s">
        <v>16</v>
      </c>
    </row>
    <row r="182" spans="1:12" ht="12.75">
      <c r="A182" s="11" t="s">
        <v>17</v>
      </c>
      <c r="B182" t="s">
        <v>347</v>
      </c>
      <c r="C182" s="12" t="s">
        <v>340</v>
      </c>
      <c r="D182" t="s">
        <v>62</v>
      </c>
      <c r="E182" t="s">
        <v>14</v>
      </c>
      <c r="F182" t="s">
        <v>15</v>
      </c>
      <c r="G182" s="13" t="s">
        <v>16</v>
      </c>
      <c r="H182" s="13" t="s">
        <v>16</v>
      </c>
      <c r="I182" s="13" t="s">
        <v>16</v>
      </c>
      <c r="J182" t="s">
        <v>16</v>
      </c>
      <c r="K182" t="s">
        <v>16</v>
      </c>
      <c r="L182" s="14" t="s">
        <v>16</v>
      </c>
    </row>
    <row r="183" spans="1:12" ht="12.75">
      <c r="A183" s="11" t="s">
        <v>17</v>
      </c>
      <c r="B183" t="s">
        <v>348</v>
      </c>
      <c r="C183" s="12" t="s">
        <v>349</v>
      </c>
      <c r="D183" t="s">
        <v>62</v>
      </c>
      <c r="E183" t="s">
        <v>14</v>
      </c>
      <c r="F183" t="s">
        <v>15</v>
      </c>
      <c r="G183" s="13" t="s">
        <v>16</v>
      </c>
      <c r="H183" s="13" t="s">
        <v>16</v>
      </c>
      <c r="I183" s="13" t="s">
        <v>16</v>
      </c>
      <c r="J183" t="s">
        <v>16</v>
      </c>
      <c r="K183" t="s">
        <v>16</v>
      </c>
      <c r="L183" s="14" t="s">
        <v>16</v>
      </c>
    </row>
    <row r="184" spans="1:12" ht="12.75">
      <c r="A184" s="11" t="s">
        <v>17</v>
      </c>
      <c r="B184" t="s">
        <v>350</v>
      </c>
      <c r="C184" s="12" t="s">
        <v>351</v>
      </c>
      <c r="D184" t="s">
        <v>62</v>
      </c>
      <c r="E184" t="s">
        <v>14</v>
      </c>
      <c r="F184" t="s">
        <v>15</v>
      </c>
      <c r="G184" s="13" t="s">
        <v>16</v>
      </c>
      <c r="H184" s="13" t="s">
        <v>16</v>
      </c>
      <c r="I184" s="13" t="s">
        <v>16</v>
      </c>
      <c r="J184" t="s">
        <v>16</v>
      </c>
      <c r="K184" t="s">
        <v>16</v>
      </c>
      <c r="L184" s="14" t="s">
        <v>16</v>
      </c>
    </row>
    <row r="185" spans="1:12" ht="12.75">
      <c r="A185" s="11" t="s">
        <v>17</v>
      </c>
      <c r="B185" t="s">
        <v>352</v>
      </c>
      <c r="C185" s="12" t="s">
        <v>351</v>
      </c>
      <c r="D185" t="s">
        <v>62</v>
      </c>
      <c r="E185" t="s">
        <v>14</v>
      </c>
      <c r="F185" t="s">
        <v>15</v>
      </c>
      <c r="G185" s="13" t="s">
        <v>16</v>
      </c>
      <c r="H185" s="13" t="s">
        <v>16</v>
      </c>
      <c r="I185" s="13" t="s">
        <v>16</v>
      </c>
      <c r="J185" t="s">
        <v>16</v>
      </c>
      <c r="K185" t="s">
        <v>16</v>
      </c>
      <c r="L185" s="14" t="s">
        <v>16</v>
      </c>
    </row>
    <row r="186" spans="1:12" ht="12.75">
      <c r="A186" s="11" t="s">
        <v>17</v>
      </c>
      <c r="B186" t="s">
        <v>353</v>
      </c>
      <c r="C186" s="12" t="s">
        <v>354</v>
      </c>
      <c r="D186" t="s">
        <v>62</v>
      </c>
      <c r="E186" t="s">
        <v>14</v>
      </c>
      <c r="F186" t="s">
        <v>15</v>
      </c>
      <c r="G186" s="13" t="s">
        <v>16</v>
      </c>
      <c r="H186" s="13" t="s">
        <v>16</v>
      </c>
      <c r="I186" s="13" t="s">
        <v>16</v>
      </c>
      <c r="J186" t="s">
        <v>16</v>
      </c>
      <c r="K186" t="s">
        <v>16</v>
      </c>
      <c r="L186" s="14" t="s">
        <v>16</v>
      </c>
    </row>
    <row r="187" spans="1:12" ht="12.75">
      <c r="A187" s="11" t="s">
        <v>17</v>
      </c>
      <c r="B187" t="s">
        <v>355</v>
      </c>
      <c r="C187" s="12" t="s">
        <v>356</v>
      </c>
      <c r="D187" t="s">
        <v>62</v>
      </c>
      <c r="E187" t="s">
        <v>14</v>
      </c>
      <c r="F187" t="s">
        <v>15</v>
      </c>
      <c r="G187" s="13" t="s">
        <v>16</v>
      </c>
      <c r="H187" s="13" t="s">
        <v>16</v>
      </c>
      <c r="I187" s="13" t="s">
        <v>16</v>
      </c>
      <c r="J187" t="s">
        <v>16</v>
      </c>
      <c r="K187" t="s">
        <v>16</v>
      </c>
      <c r="L187" s="14" t="s">
        <v>16</v>
      </c>
    </row>
    <row r="188" spans="1:12" ht="12.75">
      <c r="A188" s="11" t="s">
        <v>17</v>
      </c>
      <c r="B188" t="s">
        <v>357</v>
      </c>
      <c r="C188" s="12" t="s">
        <v>358</v>
      </c>
      <c r="D188" t="s">
        <v>62</v>
      </c>
      <c r="E188" t="s">
        <v>14</v>
      </c>
      <c r="F188" t="s">
        <v>15</v>
      </c>
      <c r="G188" s="13" t="s">
        <v>16</v>
      </c>
      <c r="H188" s="13" t="s">
        <v>16</v>
      </c>
      <c r="I188" s="13" t="s">
        <v>16</v>
      </c>
      <c r="J188" t="s">
        <v>16</v>
      </c>
      <c r="K188" t="s">
        <v>16</v>
      </c>
      <c r="L188" s="14" t="s">
        <v>16</v>
      </c>
    </row>
    <row r="189" spans="1:12" ht="12.75">
      <c r="A189" s="11" t="s">
        <v>17</v>
      </c>
      <c r="B189" t="s">
        <v>359</v>
      </c>
      <c r="C189" s="12" t="s">
        <v>360</v>
      </c>
      <c r="D189" t="s">
        <v>62</v>
      </c>
      <c r="E189" t="s">
        <v>14</v>
      </c>
      <c r="F189" t="s">
        <v>15</v>
      </c>
      <c r="G189" s="13" t="s">
        <v>16</v>
      </c>
      <c r="H189" s="13" t="s">
        <v>16</v>
      </c>
      <c r="I189" s="13" t="s">
        <v>16</v>
      </c>
      <c r="J189" t="s">
        <v>16</v>
      </c>
      <c r="K189" t="s">
        <v>16</v>
      </c>
      <c r="L189" s="14" t="s">
        <v>16</v>
      </c>
    </row>
    <row r="190" spans="1:12" ht="12.75">
      <c r="A190" s="11" t="s">
        <v>17</v>
      </c>
      <c r="B190" t="s">
        <v>361</v>
      </c>
      <c r="C190" s="12" t="s">
        <v>362</v>
      </c>
      <c r="D190" t="s">
        <v>62</v>
      </c>
      <c r="E190" t="s">
        <v>14</v>
      </c>
      <c r="F190" t="s">
        <v>15</v>
      </c>
      <c r="G190" s="13" t="s">
        <v>16</v>
      </c>
      <c r="H190" s="13" t="s">
        <v>16</v>
      </c>
      <c r="I190" s="13" t="s">
        <v>16</v>
      </c>
      <c r="J190" t="s">
        <v>16</v>
      </c>
      <c r="K190" t="s">
        <v>16</v>
      </c>
      <c r="L190" s="14" t="s">
        <v>16</v>
      </c>
    </row>
    <row r="191" spans="1:12" ht="12.75">
      <c r="A191" s="11" t="s">
        <v>17</v>
      </c>
      <c r="B191" t="s">
        <v>363</v>
      </c>
      <c r="C191" s="12" t="s">
        <v>364</v>
      </c>
      <c r="D191" t="s">
        <v>62</v>
      </c>
      <c r="E191" t="s">
        <v>14</v>
      </c>
      <c r="F191" t="s">
        <v>15</v>
      </c>
      <c r="G191" s="13" t="s">
        <v>16</v>
      </c>
      <c r="H191" s="13" t="s">
        <v>16</v>
      </c>
      <c r="I191" s="13" t="s">
        <v>16</v>
      </c>
      <c r="J191" t="s">
        <v>16</v>
      </c>
      <c r="K191" t="s">
        <v>16</v>
      </c>
      <c r="L191" s="14" t="s">
        <v>16</v>
      </c>
    </row>
    <row r="192" spans="1:12" ht="12.75">
      <c r="A192" s="11" t="s">
        <v>17</v>
      </c>
      <c r="B192" t="s">
        <v>365</v>
      </c>
      <c r="C192" s="12" t="s">
        <v>366</v>
      </c>
      <c r="D192" t="s">
        <v>62</v>
      </c>
      <c r="E192" t="s">
        <v>14</v>
      </c>
      <c r="F192" t="s">
        <v>15</v>
      </c>
      <c r="G192" s="13" t="s">
        <v>16</v>
      </c>
      <c r="H192" s="13" t="s">
        <v>16</v>
      </c>
      <c r="I192" s="13" t="s">
        <v>16</v>
      </c>
      <c r="J192" t="s">
        <v>16</v>
      </c>
      <c r="K192" t="s">
        <v>16</v>
      </c>
      <c r="L192" s="14" t="s">
        <v>16</v>
      </c>
    </row>
    <row r="193" spans="1:12" ht="12.75">
      <c r="A193" s="11" t="s">
        <v>17</v>
      </c>
      <c r="B193" t="s">
        <v>367</v>
      </c>
      <c r="C193" s="12" t="s">
        <v>229</v>
      </c>
      <c r="D193" t="s">
        <v>62</v>
      </c>
      <c r="E193" t="s">
        <v>14</v>
      </c>
      <c r="F193" t="s">
        <v>15</v>
      </c>
      <c r="G193" s="13" t="s">
        <v>16</v>
      </c>
      <c r="H193" s="13" t="s">
        <v>16</v>
      </c>
      <c r="I193" s="13" t="s">
        <v>16</v>
      </c>
      <c r="J193" t="s">
        <v>16</v>
      </c>
      <c r="K193" t="s">
        <v>16</v>
      </c>
      <c r="L193" s="14" t="s">
        <v>16</v>
      </c>
    </row>
    <row r="194" spans="1:12" ht="12.75">
      <c r="A194" s="11" t="s">
        <v>17</v>
      </c>
      <c r="B194" t="s">
        <v>368</v>
      </c>
      <c r="C194" s="12" t="s">
        <v>369</v>
      </c>
      <c r="D194" t="s">
        <v>62</v>
      </c>
      <c r="E194" t="s">
        <v>14</v>
      </c>
      <c r="F194" t="s">
        <v>15</v>
      </c>
      <c r="G194" s="13" t="s">
        <v>16</v>
      </c>
      <c r="H194" s="13" t="s">
        <v>16</v>
      </c>
      <c r="I194" s="13" t="s">
        <v>16</v>
      </c>
      <c r="J194" t="s">
        <v>16</v>
      </c>
      <c r="K194" t="s">
        <v>16</v>
      </c>
      <c r="L194" s="14" t="s">
        <v>16</v>
      </c>
    </row>
    <row r="195" spans="1:12" ht="12.75">
      <c r="A195" s="11" t="s">
        <v>17</v>
      </c>
      <c r="B195" t="s">
        <v>370</v>
      </c>
      <c r="C195" s="12" t="s">
        <v>371</v>
      </c>
      <c r="D195" t="s">
        <v>62</v>
      </c>
      <c r="E195" t="s">
        <v>14</v>
      </c>
      <c r="F195" t="s">
        <v>15</v>
      </c>
      <c r="G195" s="13" t="s">
        <v>16</v>
      </c>
      <c r="H195" s="13" t="s">
        <v>16</v>
      </c>
      <c r="I195" s="13" t="s">
        <v>16</v>
      </c>
      <c r="J195" t="s">
        <v>16</v>
      </c>
      <c r="K195" t="s">
        <v>16</v>
      </c>
      <c r="L195" s="14" t="s">
        <v>16</v>
      </c>
    </row>
    <row r="196" spans="1:12" ht="12.75">
      <c r="A196" s="11" t="s">
        <v>17</v>
      </c>
      <c r="B196" t="s">
        <v>372</v>
      </c>
      <c r="C196" s="12" t="s">
        <v>373</v>
      </c>
      <c r="D196" t="s">
        <v>62</v>
      </c>
      <c r="E196" t="s">
        <v>14</v>
      </c>
      <c r="F196" t="s">
        <v>15</v>
      </c>
      <c r="G196" s="13" t="s">
        <v>16</v>
      </c>
      <c r="H196" s="13" t="s">
        <v>16</v>
      </c>
      <c r="I196" s="13" t="s">
        <v>16</v>
      </c>
      <c r="J196" t="s">
        <v>16</v>
      </c>
      <c r="K196" t="s">
        <v>16</v>
      </c>
      <c r="L196" s="14" t="s">
        <v>16</v>
      </c>
    </row>
    <row r="197" spans="1:12" ht="12.75">
      <c r="A197" s="11" t="s">
        <v>17</v>
      </c>
      <c r="B197" t="s">
        <v>374</v>
      </c>
      <c r="C197" s="12" t="s">
        <v>375</v>
      </c>
      <c r="D197" t="s">
        <v>62</v>
      </c>
      <c r="E197" t="s">
        <v>14</v>
      </c>
      <c r="F197" t="s">
        <v>15</v>
      </c>
      <c r="G197" s="13" t="s">
        <v>16</v>
      </c>
      <c r="H197" s="13" t="s">
        <v>16</v>
      </c>
      <c r="I197" s="13" t="s">
        <v>16</v>
      </c>
      <c r="J197" t="s">
        <v>16</v>
      </c>
      <c r="K197" t="s">
        <v>16</v>
      </c>
      <c r="L197" s="14" t="s">
        <v>16</v>
      </c>
    </row>
    <row r="198" spans="1:12" ht="12.75">
      <c r="A198" s="11" t="s">
        <v>17</v>
      </c>
      <c r="B198" t="s">
        <v>376</v>
      </c>
      <c r="C198" s="12" t="s">
        <v>377</v>
      </c>
      <c r="D198" t="s">
        <v>62</v>
      </c>
      <c r="E198" t="s">
        <v>14</v>
      </c>
      <c r="F198" t="s">
        <v>15</v>
      </c>
      <c r="G198" s="13" t="s">
        <v>16</v>
      </c>
      <c r="H198" s="13" t="s">
        <v>16</v>
      </c>
      <c r="I198" s="13" t="s">
        <v>16</v>
      </c>
      <c r="J198" t="s">
        <v>16</v>
      </c>
      <c r="K198" t="s">
        <v>16</v>
      </c>
      <c r="L198" s="14" t="s">
        <v>16</v>
      </c>
    </row>
    <row r="199" spans="1:12" ht="12.75">
      <c r="A199" s="11" t="s">
        <v>17</v>
      </c>
      <c r="B199" t="s">
        <v>378</v>
      </c>
      <c r="C199" s="12">
        <v>15329</v>
      </c>
      <c r="D199" t="s">
        <v>62</v>
      </c>
      <c r="E199" t="s">
        <v>14</v>
      </c>
      <c r="F199" t="s">
        <v>15</v>
      </c>
      <c r="G199" s="13" t="s">
        <v>16</v>
      </c>
      <c r="H199" s="13" t="s">
        <v>16</v>
      </c>
      <c r="I199" s="13" t="s">
        <v>16</v>
      </c>
      <c r="J199" t="s">
        <v>16</v>
      </c>
      <c r="K199" t="s">
        <v>16</v>
      </c>
      <c r="L199" s="14" t="s">
        <v>16</v>
      </c>
    </row>
    <row r="200" spans="1:12" ht="12.75">
      <c r="A200" s="11" t="s">
        <v>17</v>
      </c>
      <c r="B200" t="s">
        <v>379</v>
      </c>
      <c r="C200" s="12" t="s">
        <v>380</v>
      </c>
      <c r="D200" t="s">
        <v>62</v>
      </c>
      <c r="E200" t="s">
        <v>14</v>
      </c>
      <c r="F200" t="s">
        <v>15</v>
      </c>
      <c r="G200" s="13" t="s">
        <v>16</v>
      </c>
      <c r="H200" s="13" t="s">
        <v>16</v>
      </c>
      <c r="I200" s="13" t="s">
        <v>16</v>
      </c>
      <c r="J200" t="s">
        <v>16</v>
      </c>
      <c r="K200" t="s">
        <v>16</v>
      </c>
      <c r="L200" s="14" t="s">
        <v>16</v>
      </c>
    </row>
    <row r="201" spans="1:12" ht="12.75">
      <c r="A201" s="11" t="s">
        <v>17</v>
      </c>
      <c r="B201" t="s">
        <v>381</v>
      </c>
      <c r="C201" s="12" t="s">
        <v>382</v>
      </c>
      <c r="D201" t="s">
        <v>62</v>
      </c>
      <c r="E201" t="s">
        <v>14</v>
      </c>
      <c r="F201" t="s">
        <v>15</v>
      </c>
      <c r="G201" s="13" t="s">
        <v>16</v>
      </c>
      <c r="H201" s="13" t="s">
        <v>16</v>
      </c>
      <c r="I201" s="13" t="s">
        <v>16</v>
      </c>
      <c r="J201" t="s">
        <v>16</v>
      </c>
      <c r="K201" t="s">
        <v>16</v>
      </c>
      <c r="L201" s="14" t="s">
        <v>16</v>
      </c>
    </row>
    <row r="202" spans="1:12" ht="12.75">
      <c r="A202" s="11" t="s">
        <v>17</v>
      </c>
      <c r="B202" t="s">
        <v>383</v>
      </c>
      <c r="C202" s="12" t="s">
        <v>384</v>
      </c>
      <c r="D202" t="s">
        <v>62</v>
      </c>
      <c r="E202" t="s">
        <v>14</v>
      </c>
      <c r="F202" t="s">
        <v>15</v>
      </c>
      <c r="G202" s="13" t="s">
        <v>16</v>
      </c>
      <c r="H202" s="13" t="s">
        <v>16</v>
      </c>
      <c r="I202" s="13" t="s">
        <v>16</v>
      </c>
      <c r="J202" t="s">
        <v>16</v>
      </c>
      <c r="K202" t="s">
        <v>16</v>
      </c>
      <c r="L202" s="14" t="s">
        <v>16</v>
      </c>
    </row>
    <row r="203" spans="1:12" ht="12.75">
      <c r="A203" s="11" t="s">
        <v>17</v>
      </c>
      <c r="B203" t="s">
        <v>385</v>
      </c>
      <c r="C203" s="12" t="s">
        <v>386</v>
      </c>
      <c r="D203" t="s">
        <v>62</v>
      </c>
      <c r="E203" t="s">
        <v>14</v>
      </c>
      <c r="F203" t="s">
        <v>15</v>
      </c>
      <c r="G203" s="13" t="s">
        <v>16</v>
      </c>
      <c r="H203" s="13" t="s">
        <v>16</v>
      </c>
      <c r="I203" s="13" t="s">
        <v>16</v>
      </c>
      <c r="J203" t="s">
        <v>16</v>
      </c>
      <c r="K203" t="s">
        <v>16</v>
      </c>
      <c r="L203" s="14" t="s">
        <v>16</v>
      </c>
    </row>
    <row r="204" spans="1:12" ht="12.75">
      <c r="A204" s="11" t="s">
        <v>17</v>
      </c>
      <c r="B204" t="s">
        <v>387</v>
      </c>
      <c r="C204" s="12" t="s">
        <v>388</v>
      </c>
      <c r="D204" t="s">
        <v>62</v>
      </c>
      <c r="E204" t="s">
        <v>14</v>
      </c>
      <c r="F204" t="s">
        <v>15</v>
      </c>
      <c r="G204" s="13" t="s">
        <v>16</v>
      </c>
      <c r="H204" s="13" t="s">
        <v>16</v>
      </c>
      <c r="I204" s="13" t="s">
        <v>16</v>
      </c>
      <c r="J204" t="s">
        <v>16</v>
      </c>
      <c r="K204" t="s">
        <v>16</v>
      </c>
      <c r="L204" s="14" t="s">
        <v>16</v>
      </c>
    </row>
    <row r="205" spans="1:12" ht="12.75">
      <c r="A205" s="11" t="s">
        <v>17</v>
      </c>
      <c r="B205" t="s">
        <v>389</v>
      </c>
      <c r="C205" s="12" t="s">
        <v>390</v>
      </c>
      <c r="D205" t="s">
        <v>62</v>
      </c>
      <c r="E205" t="s">
        <v>14</v>
      </c>
      <c r="F205" t="s">
        <v>15</v>
      </c>
      <c r="G205" s="13" t="s">
        <v>16</v>
      </c>
      <c r="H205" s="13" t="s">
        <v>16</v>
      </c>
      <c r="I205" s="13" t="s">
        <v>16</v>
      </c>
      <c r="J205" t="s">
        <v>16</v>
      </c>
      <c r="K205" t="s">
        <v>16</v>
      </c>
      <c r="L205" s="14" t="s">
        <v>16</v>
      </c>
    </row>
    <row r="206" spans="1:12" ht="12.75">
      <c r="A206" s="11" t="s">
        <v>17</v>
      </c>
      <c r="B206" t="s">
        <v>391</v>
      </c>
      <c r="C206" s="12" t="s">
        <v>392</v>
      </c>
      <c r="D206" t="s">
        <v>62</v>
      </c>
      <c r="E206" t="s">
        <v>14</v>
      </c>
      <c r="F206" t="s">
        <v>15</v>
      </c>
      <c r="G206" s="13" t="s">
        <v>16</v>
      </c>
      <c r="H206" s="13" t="s">
        <v>16</v>
      </c>
      <c r="I206" s="13" t="s">
        <v>16</v>
      </c>
      <c r="J206" t="s">
        <v>16</v>
      </c>
      <c r="K206" t="s">
        <v>16</v>
      </c>
      <c r="L206" s="14" t="s">
        <v>16</v>
      </c>
    </row>
    <row r="207" spans="1:12" ht="12.75">
      <c r="A207" s="11" t="s">
        <v>17</v>
      </c>
      <c r="B207" t="s">
        <v>393</v>
      </c>
      <c r="C207" s="12" t="s">
        <v>394</v>
      </c>
      <c r="D207" t="s">
        <v>62</v>
      </c>
      <c r="E207" t="s">
        <v>14</v>
      </c>
      <c r="F207" t="s">
        <v>15</v>
      </c>
      <c r="G207" s="13" t="s">
        <v>16</v>
      </c>
      <c r="H207" s="13" t="s">
        <v>16</v>
      </c>
      <c r="I207" s="13" t="s">
        <v>16</v>
      </c>
      <c r="J207" t="s">
        <v>16</v>
      </c>
      <c r="K207" t="s">
        <v>16</v>
      </c>
      <c r="L207" s="14" t="s">
        <v>16</v>
      </c>
    </row>
    <row r="208" spans="1:12" ht="12.75">
      <c r="A208" s="11" t="s">
        <v>17</v>
      </c>
      <c r="B208" t="s">
        <v>395</v>
      </c>
      <c r="C208" s="12" t="s">
        <v>396</v>
      </c>
      <c r="D208" t="s">
        <v>62</v>
      </c>
      <c r="E208" t="s">
        <v>14</v>
      </c>
      <c r="F208" t="s">
        <v>15</v>
      </c>
      <c r="G208" s="13" t="s">
        <v>16</v>
      </c>
      <c r="H208" s="13" t="s">
        <v>16</v>
      </c>
      <c r="I208" s="13" t="s">
        <v>16</v>
      </c>
      <c r="J208" t="s">
        <v>16</v>
      </c>
      <c r="K208" t="s">
        <v>16</v>
      </c>
      <c r="L208" s="14" t="s">
        <v>16</v>
      </c>
    </row>
    <row r="209" spans="1:12" ht="12.75">
      <c r="A209" s="11" t="s">
        <v>17</v>
      </c>
      <c r="B209" t="s">
        <v>397</v>
      </c>
      <c r="C209" s="12" t="s">
        <v>398</v>
      </c>
      <c r="D209" t="s">
        <v>62</v>
      </c>
      <c r="E209" t="s">
        <v>14</v>
      </c>
      <c r="F209" t="s">
        <v>15</v>
      </c>
      <c r="G209" s="13" t="s">
        <v>16</v>
      </c>
      <c r="H209" s="13" t="s">
        <v>16</v>
      </c>
      <c r="I209" s="13" t="s">
        <v>16</v>
      </c>
      <c r="J209" t="s">
        <v>16</v>
      </c>
      <c r="K209" t="s">
        <v>16</v>
      </c>
      <c r="L209" s="14" t="s">
        <v>16</v>
      </c>
    </row>
    <row r="210" spans="1:12" ht="12.75">
      <c r="A210" s="11" t="s">
        <v>17</v>
      </c>
      <c r="B210" t="s">
        <v>399</v>
      </c>
      <c r="C210" s="12" t="s">
        <v>400</v>
      </c>
      <c r="D210" t="s">
        <v>62</v>
      </c>
      <c r="E210" t="s">
        <v>14</v>
      </c>
      <c r="F210" t="s">
        <v>15</v>
      </c>
      <c r="G210" s="13" t="s">
        <v>16</v>
      </c>
      <c r="H210" s="13" t="s">
        <v>16</v>
      </c>
      <c r="I210" s="13" t="s">
        <v>16</v>
      </c>
      <c r="J210" t="s">
        <v>16</v>
      </c>
      <c r="K210" t="s">
        <v>16</v>
      </c>
      <c r="L210" s="14" t="s">
        <v>16</v>
      </c>
    </row>
    <row r="211" spans="1:12" ht="12.75">
      <c r="A211" s="11" t="s">
        <v>17</v>
      </c>
      <c r="B211" t="s">
        <v>401</v>
      </c>
      <c r="C211" s="12" t="s">
        <v>402</v>
      </c>
      <c r="D211" t="s">
        <v>62</v>
      </c>
      <c r="E211" t="s">
        <v>14</v>
      </c>
      <c r="F211" t="s">
        <v>15</v>
      </c>
      <c r="G211" s="13" t="s">
        <v>16</v>
      </c>
      <c r="H211" s="13" t="s">
        <v>16</v>
      </c>
      <c r="I211" s="13" t="s">
        <v>16</v>
      </c>
      <c r="J211" t="s">
        <v>16</v>
      </c>
      <c r="K211" t="s">
        <v>16</v>
      </c>
      <c r="L211" s="14" t="s">
        <v>16</v>
      </c>
    </row>
    <row r="212" spans="1:12" ht="12.75">
      <c r="A212" s="11" t="s">
        <v>17</v>
      </c>
      <c r="B212" t="s">
        <v>403</v>
      </c>
      <c r="C212" s="12" t="s">
        <v>404</v>
      </c>
      <c r="D212" t="s">
        <v>62</v>
      </c>
      <c r="E212" t="s">
        <v>14</v>
      </c>
      <c r="F212" t="s">
        <v>15</v>
      </c>
      <c r="G212" s="13" t="s">
        <v>16</v>
      </c>
      <c r="H212" s="13" t="s">
        <v>16</v>
      </c>
      <c r="I212" s="13" t="s">
        <v>16</v>
      </c>
      <c r="J212" t="s">
        <v>16</v>
      </c>
      <c r="K212" t="s">
        <v>16</v>
      </c>
      <c r="L212" s="14" t="s">
        <v>16</v>
      </c>
    </row>
    <row r="213" spans="1:12" ht="12.75">
      <c r="A213" s="11" t="s">
        <v>17</v>
      </c>
      <c r="B213" t="s">
        <v>405</v>
      </c>
      <c r="C213" s="12" t="s">
        <v>406</v>
      </c>
      <c r="D213" t="s">
        <v>62</v>
      </c>
      <c r="E213" t="s">
        <v>14</v>
      </c>
      <c r="F213" t="s">
        <v>15</v>
      </c>
      <c r="G213" s="13" t="s">
        <v>16</v>
      </c>
      <c r="H213" s="13" t="s">
        <v>16</v>
      </c>
      <c r="I213" s="13" t="s">
        <v>16</v>
      </c>
      <c r="J213" t="s">
        <v>16</v>
      </c>
      <c r="K213" t="s">
        <v>16</v>
      </c>
      <c r="L213" s="14" t="s">
        <v>16</v>
      </c>
    </row>
    <row r="214" spans="1:12" ht="12.75">
      <c r="A214" s="11" t="s">
        <v>17</v>
      </c>
      <c r="B214" t="s">
        <v>407</v>
      </c>
      <c r="C214" s="12" t="s">
        <v>408</v>
      </c>
      <c r="D214" t="s">
        <v>62</v>
      </c>
      <c r="E214" t="s">
        <v>14</v>
      </c>
      <c r="F214" t="s">
        <v>15</v>
      </c>
      <c r="G214" s="13" t="s">
        <v>16</v>
      </c>
      <c r="H214" s="13" t="s">
        <v>16</v>
      </c>
      <c r="I214" s="13" t="s">
        <v>16</v>
      </c>
      <c r="J214" t="s">
        <v>16</v>
      </c>
      <c r="K214" t="s">
        <v>16</v>
      </c>
      <c r="L214" s="14" t="s">
        <v>16</v>
      </c>
    </row>
    <row r="215" spans="1:12" ht="12.75">
      <c r="A215" s="11" t="s">
        <v>17</v>
      </c>
      <c r="B215" t="s">
        <v>409</v>
      </c>
      <c r="C215" s="12" t="s">
        <v>410</v>
      </c>
      <c r="D215" t="s">
        <v>62</v>
      </c>
      <c r="E215" t="s">
        <v>14</v>
      </c>
      <c r="F215" t="s">
        <v>15</v>
      </c>
      <c r="G215" s="13" t="s">
        <v>16</v>
      </c>
      <c r="H215" s="13" t="s">
        <v>16</v>
      </c>
      <c r="I215" s="13" t="s">
        <v>16</v>
      </c>
      <c r="J215" t="s">
        <v>16</v>
      </c>
      <c r="K215" t="s">
        <v>16</v>
      </c>
      <c r="L215" s="14" t="s">
        <v>16</v>
      </c>
    </row>
    <row r="216" spans="1:12" ht="12.75">
      <c r="A216" s="11" t="s">
        <v>17</v>
      </c>
      <c r="B216" t="s">
        <v>411</v>
      </c>
      <c r="C216" s="12" t="s">
        <v>412</v>
      </c>
      <c r="D216" t="s">
        <v>62</v>
      </c>
      <c r="E216" t="s">
        <v>14</v>
      </c>
      <c r="F216" t="s">
        <v>15</v>
      </c>
      <c r="G216" s="13" t="s">
        <v>16</v>
      </c>
      <c r="H216" s="13" t="s">
        <v>16</v>
      </c>
      <c r="I216" s="13" t="s">
        <v>16</v>
      </c>
      <c r="J216" t="s">
        <v>16</v>
      </c>
      <c r="K216" t="s">
        <v>16</v>
      </c>
      <c r="L216" s="14" t="s">
        <v>16</v>
      </c>
    </row>
    <row r="217" spans="1:12" ht="12.75">
      <c r="A217" s="11" t="s">
        <v>17</v>
      </c>
      <c r="B217" t="s">
        <v>413</v>
      </c>
      <c r="C217" s="12" t="s">
        <v>414</v>
      </c>
      <c r="D217" t="s">
        <v>62</v>
      </c>
      <c r="E217" t="s">
        <v>14</v>
      </c>
      <c r="F217" t="s">
        <v>15</v>
      </c>
      <c r="G217" s="13" t="s">
        <v>16</v>
      </c>
      <c r="H217" s="13" t="s">
        <v>16</v>
      </c>
      <c r="I217" s="13" t="s">
        <v>16</v>
      </c>
      <c r="J217" t="s">
        <v>16</v>
      </c>
      <c r="K217" t="s">
        <v>16</v>
      </c>
      <c r="L217" s="14" t="s">
        <v>16</v>
      </c>
    </row>
    <row r="218" spans="1:12" ht="12.75">
      <c r="A218" s="11" t="s">
        <v>17</v>
      </c>
      <c r="B218" t="s">
        <v>415</v>
      </c>
      <c r="C218" s="12" t="s">
        <v>338</v>
      </c>
      <c r="D218" t="s">
        <v>62</v>
      </c>
      <c r="E218" t="s">
        <v>14</v>
      </c>
      <c r="F218" t="s">
        <v>15</v>
      </c>
      <c r="G218" s="13" t="s">
        <v>16</v>
      </c>
      <c r="H218" s="13" t="s">
        <v>16</v>
      </c>
      <c r="I218" s="13" t="s">
        <v>16</v>
      </c>
      <c r="J218" t="s">
        <v>16</v>
      </c>
      <c r="K218" t="s">
        <v>16</v>
      </c>
      <c r="L218" s="14" t="s">
        <v>16</v>
      </c>
    </row>
    <row r="219" spans="1:12" ht="12.75">
      <c r="A219" s="11" t="s">
        <v>17</v>
      </c>
      <c r="B219" t="s">
        <v>416</v>
      </c>
      <c r="C219" s="12" t="s">
        <v>417</v>
      </c>
      <c r="D219" t="s">
        <v>62</v>
      </c>
      <c r="E219" t="s">
        <v>14</v>
      </c>
      <c r="F219" t="s">
        <v>15</v>
      </c>
      <c r="G219" s="13" t="s">
        <v>16</v>
      </c>
      <c r="H219" s="13" t="s">
        <v>16</v>
      </c>
      <c r="I219" s="13" t="s">
        <v>16</v>
      </c>
      <c r="J219" t="s">
        <v>16</v>
      </c>
      <c r="K219" t="s">
        <v>16</v>
      </c>
      <c r="L219" s="14" t="s">
        <v>16</v>
      </c>
    </row>
    <row r="220" spans="1:12" ht="12.75">
      <c r="A220" s="11" t="s">
        <v>17</v>
      </c>
      <c r="B220" t="s">
        <v>418</v>
      </c>
      <c r="C220" s="12" t="s">
        <v>419</v>
      </c>
      <c r="D220" t="s">
        <v>62</v>
      </c>
      <c r="E220" t="s">
        <v>14</v>
      </c>
      <c r="F220" t="s">
        <v>15</v>
      </c>
      <c r="G220" s="13" t="s">
        <v>16</v>
      </c>
      <c r="H220" s="13" t="s">
        <v>16</v>
      </c>
      <c r="I220" s="13" t="s">
        <v>16</v>
      </c>
      <c r="J220" t="s">
        <v>16</v>
      </c>
      <c r="K220" t="s">
        <v>16</v>
      </c>
      <c r="L220" s="14" t="s">
        <v>16</v>
      </c>
    </row>
    <row r="221" spans="1:12" ht="12.75">
      <c r="A221" s="11" t="s">
        <v>17</v>
      </c>
      <c r="B221" t="s">
        <v>420</v>
      </c>
      <c r="C221" s="12" t="s">
        <v>419</v>
      </c>
      <c r="D221" t="s">
        <v>62</v>
      </c>
      <c r="E221" t="s">
        <v>14</v>
      </c>
      <c r="F221" t="s">
        <v>15</v>
      </c>
      <c r="G221" s="13" t="s">
        <v>16</v>
      </c>
      <c r="H221" s="13" t="s">
        <v>16</v>
      </c>
      <c r="I221" s="13" t="s">
        <v>16</v>
      </c>
      <c r="J221" t="s">
        <v>16</v>
      </c>
      <c r="K221" t="s">
        <v>16</v>
      </c>
      <c r="L221" s="14" t="s">
        <v>16</v>
      </c>
    </row>
    <row r="222" spans="1:12" ht="12.75">
      <c r="A222" s="11" t="s">
        <v>17</v>
      </c>
      <c r="B222" t="s">
        <v>421</v>
      </c>
      <c r="C222" s="12" t="s">
        <v>419</v>
      </c>
      <c r="D222" t="s">
        <v>62</v>
      </c>
      <c r="E222" t="s">
        <v>14</v>
      </c>
      <c r="F222" t="s">
        <v>15</v>
      </c>
      <c r="G222" s="13" t="s">
        <v>16</v>
      </c>
      <c r="H222" s="13" t="s">
        <v>16</v>
      </c>
      <c r="I222" s="13" t="s">
        <v>16</v>
      </c>
      <c r="J222" t="s">
        <v>16</v>
      </c>
      <c r="K222" t="s">
        <v>16</v>
      </c>
      <c r="L222" s="14" t="s">
        <v>16</v>
      </c>
    </row>
    <row r="223" spans="1:12" ht="12.75">
      <c r="A223" s="11" t="s">
        <v>17</v>
      </c>
      <c r="B223" t="s">
        <v>422</v>
      </c>
      <c r="C223" s="12" t="s">
        <v>423</v>
      </c>
      <c r="D223" t="s">
        <v>62</v>
      </c>
      <c r="E223" t="s">
        <v>14</v>
      </c>
      <c r="F223" t="s">
        <v>15</v>
      </c>
      <c r="G223" s="13" t="s">
        <v>16</v>
      </c>
      <c r="H223" s="13" t="s">
        <v>16</v>
      </c>
      <c r="I223" s="13" t="s">
        <v>16</v>
      </c>
      <c r="J223" t="s">
        <v>16</v>
      </c>
      <c r="K223" t="s">
        <v>16</v>
      </c>
      <c r="L223" s="14" t="s">
        <v>16</v>
      </c>
    </row>
    <row r="224" spans="1:12" ht="12.75">
      <c r="A224" s="11" t="s">
        <v>17</v>
      </c>
      <c r="B224" t="s">
        <v>424</v>
      </c>
      <c r="C224" s="12" t="s">
        <v>206</v>
      </c>
      <c r="D224" t="s">
        <v>62</v>
      </c>
      <c r="E224" t="s">
        <v>14</v>
      </c>
      <c r="F224" t="s">
        <v>15</v>
      </c>
      <c r="G224" s="13" t="s">
        <v>16</v>
      </c>
      <c r="H224" s="13" t="s">
        <v>16</v>
      </c>
      <c r="I224" s="13" t="s">
        <v>16</v>
      </c>
      <c r="J224" t="s">
        <v>16</v>
      </c>
      <c r="K224" t="s">
        <v>16</v>
      </c>
      <c r="L224" s="14" t="s">
        <v>16</v>
      </c>
    </row>
    <row r="225" spans="1:12" ht="12.75">
      <c r="A225" s="11" t="s">
        <v>17</v>
      </c>
      <c r="B225" t="s">
        <v>425</v>
      </c>
      <c r="C225" s="12" t="s">
        <v>426</v>
      </c>
      <c r="D225" t="s">
        <v>62</v>
      </c>
      <c r="E225" t="s">
        <v>14</v>
      </c>
      <c r="F225" t="s">
        <v>15</v>
      </c>
      <c r="G225" s="13" t="s">
        <v>16</v>
      </c>
      <c r="H225" s="13" t="s">
        <v>16</v>
      </c>
      <c r="I225" s="13" t="s">
        <v>16</v>
      </c>
      <c r="J225" t="s">
        <v>16</v>
      </c>
      <c r="K225" t="s">
        <v>16</v>
      </c>
      <c r="L225" s="14" t="s">
        <v>16</v>
      </c>
    </row>
    <row r="226" spans="1:12" ht="12.75">
      <c r="A226" s="11" t="s">
        <v>17</v>
      </c>
      <c r="B226" t="s">
        <v>427</v>
      </c>
      <c r="C226" s="12" t="s">
        <v>428</v>
      </c>
      <c r="D226" t="s">
        <v>62</v>
      </c>
      <c r="E226" t="s">
        <v>14</v>
      </c>
      <c r="F226" t="s">
        <v>15</v>
      </c>
      <c r="G226" s="13" t="s">
        <v>16</v>
      </c>
      <c r="H226" s="13" t="s">
        <v>16</v>
      </c>
      <c r="I226" s="13" t="s">
        <v>16</v>
      </c>
      <c r="J226" t="s">
        <v>16</v>
      </c>
      <c r="K226" t="s">
        <v>16</v>
      </c>
      <c r="L226" s="14" t="s">
        <v>16</v>
      </c>
    </row>
    <row r="227" spans="1:12" ht="12.75">
      <c r="A227" s="11" t="s">
        <v>17</v>
      </c>
      <c r="B227" t="s">
        <v>429</v>
      </c>
      <c r="C227" s="12" t="s">
        <v>430</v>
      </c>
      <c r="D227" t="s">
        <v>62</v>
      </c>
      <c r="E227" t="s">
        <v>14</v>
      </c>
      <c r="F227" t="s">
        <v>15</v>
      </c>
      <c r="G227" s="13" t="s">
        <v>16</v>
      </c>
      <c r="H227" s="13" t="s">
        <v>16</v>
      </c>
      <c r="I227" s="13" t="s">
        <v>16</v>
      </c>
      <c r="J227" t="s">
        <v>16</v>
      </c>
      <c r="K227" t="s">
        <v>16</v>
      </c>
      <c r="L227" s="14" t="s">
        <v>16</v>
      </c>
    </row>
    <row r="228" spans="1:12" ht="12.75">
      <c r="A228" s="11" t="s">
        <v>17</v>
      </c>
      <c r="B228" t="s">
        <v>431</v>
      </c>
      <c r="C228" s="12" t="s">
        <v>430</v>
      </c>
      <c r="D228" t="s">
        <v>62</v>
      </c>
      <c r="E228" t="s">
        <v>14</v>
      </c>
      <c r="F228" t="s">
        <v>15</v>
      </c>
      <c r="G228" s="13" t="s">
        <v>16</v>
      </c>
      <c r="H228" s="13" t="s">
        <v>16</v>
      </c>
      <c r="I228" s="13" t="s">
        <v>16</v>
      </c>
      <c r="J228" t="s">
        <v>16</v>
      </c>
      <c r="K228" t="s">
        <v>16</v>
      </c>
      <c r="L228" s="14" t="s">
        <v>16</v>
      </c>
    </row>
    <row r="229" spans="1:12" ht="12.75">
      <c r="A229" s="11" t="s">
        <v>17</v>
      </c>
      <c r="B229" t="s">
        <v>432</v>
      </c>
      <c r="C229" s="12" t="s">
        <v>430</v>
      </c>
      <c r="D229" t="s">
        <v>62</v>
      </c>
      <c r="E229" t="s">
        <v>14</v>
      </c>
      <c r="F229" t="s">
        <v>15</v>
      </c>
      <c r="G229" s="13" t="s">
        <v>16</v>
      </c>
      <c r="H229" s="13" t="s">
        <v>16</v>
      </c>
      <c r="I229" s="13" t="s">
        <v>16</v>
      </c>
      <c r="J229" t="s">
        <v>16</v>
      </c>
      <c r="K229" t="s">
        <v>16</v>
      </c>
      <c r="L229" s="14" t="s">
        <v>16</v>
      </c>
    </row>
    <row r="230" spans="1:12" ht="12.75">
      <c r="A230" s="11" t="s">
        <v>17</v>
      </c>
      <c r="B230" t="s">
        <v>433</v>
      </c>
      <c r="C230" s="12" t="s">
        <v>430</v>
      </c>
      <c r="D230" t="s">
        <v>62</v>
      </c>
      <c r="E230" t="s">
        <v>14</v>
      </c>
      <c r="F230" t="s">
        <v>15</v>
      </c>
      <c r="G230" s="13" t="s">
        <v>16</v>
      </c>
      <c r="H230" s="13" t="s">
        <v>16</v>
      </c>
      <c r="I230" s="13" t="s">
        <v>16</v>
      </c>
      <c r="J230" t="s">
        <v>16</v>
      </c>
      <c r="K230" t="s">
        <v>16</v>
      </c>
      <c r="L230" s="14" t="s">
        <v>16</v>
      </c>
    </row>
    <row r="231" spans="1:12" ht="12.75">
      <c r="A231" s="11" t="s">
        <v>17</v>
      </c>
      <c r="B231" t="s">
        <v>434</v>
      </c>
      <c r="C231" s="12" t="s">
        <v>435</v>
      </c>
      <c r="D231" t="s">
        <v>62</v>
      </c>
      <c r="E231" t="s">
        <v>14</v>
      </c>
      <c r="F231" t="s">
        <v>15</v>
      </c>
      <c r="G231" s="13" t="s">
        <v>16</v>
      </c>
      <c r="H231" s="13" t="s">
        <v>16</v>
      </c>
      <c r="I231" s="13" t="s">
        <v>16</v>
      </c>
      <c r="J231" t="s">
        <v>16</v>
      </c>
      <c r="K231" t="s">
        <v>16</v>
      </c>
      <c r="L231" s="14" t="s">
        <v>16</v>
      </c>
    </row>
    <row r="232" spans="1:12" ht="12.75">
      <c r="A232" s="11" t="s">
        <v>17</v>
      </c>
      <c r="B232" t="s">
        <v>436</v>
      </c>
      <c r="C232" s="12" t="s">
        <v>437</v>
      </c>
      <c r="D232" t="s">
        <v>62</v>
      </c>
      <c r="E232" t="s">
        <v>14</v>
      </c>
      <c r="F232" t="s">
        <v>15</v>
      </c>
      <c r="G232" s="13" t="s">
        <v>16</v>
      </c>
      <c r="H232" s="13" t="s">
        <v>16</v>
      </c>
      <c r="I232" s="13" t="s">
        <v>16</v>
      </c>
      <c r="J232" t="s">
        <v>16</v>
      </c>
      <c r="K232" t="s">
        <v>16</v>
      </c>
      <c r="L232" s="14" t="s">
        <v>16</v>
      </c>
    </row>
    <row r="233" spans="1:12" ht="12.75">
      <c r="A233" s="11" t="s">
        <v>17</v>
      </c>
      <c r="B233" t="s">
        <v>438</v>
      </c>
      <c r="C233" s="12" t="s">
        <v>23</v>
      </c>
      <c r="D233" t="s">
        <v>62</v>
      </c>
      <c r="E233" t="s">
        <v>14</v>
      </c>
      <c r="F233" t="s">
        <v>15</v>
      </c>
      <c r="G233" s="13" t="s">
        <v>16</v>
      </c>
      <c r="H233" s="13" t="s">
        <v>16</v>
      </c>
      <c r="I233" s="13" t="s">
        <v>16</v>
      </c>
      <c r="J233" t="s">
        <v>16</v>
      </c>
      <c r="K233" t="s">
        <v>16</v>
      </c>
      <c r="L233" s="14" t="s">
        <v>16</v>
      </c>
    </row>
    <row r="234" spans="1:12" ht="12.75">
      <c r="A234" s="11" t="s">
        <v>17</v>
      </c>
      <c r="B234" t="s">
        <v>439</v>
      </c>
      <c r="C234" s="12" t="s">
        <v>440</v>
      </c>
      <c r="D234" t="s">
        <v>62</v>
      </c>
      <c r="E234" t="s">
        <v>14</v>
      </c>
      <c r="F234" t="s">
        <v>15</v>
      </c>
      <c r="G234" s="13" t="s">
        <v>16</v>
      </c>
      <c r="H234" s="13" t="s">
        <v>16</v>
      </c>
      <c r="I234" s="13" t="s">
        <v>16</v>
      </c>
      <c r="J234" t="s">
        <v>16</v>
      </c>
      <c r="K234" t="s">
        <v>16</v>
      </c>
      <c r="L234" s="14" t="s">
        <v>16</v>
      </c>
    </row>
    <row r="235" spans="1:12" ht="12.75">
      <c r="A235" s="11" t="s">
        <v>17</v>
      </c>
      <c r="B235" t="s">
        <v>441</v>
      </c>
      <c r="C235" s="12" t="s">
        <v>442</v>
      </c>
      <c r="D235" t="s">
        <v>62</v>
      </c>
      <c r="E235" t="s">
        <v>14</v>
      </c>
      <c r="F235" t="s">
        <v>15</v>
      </c>
      <c r="G235" s="13" t="s">
        <v>16</v>
      </c>
      <c r="H235" s="13" t="s">
        <v>16</v>
      </c>
      <c r="I235" s="13" t="s">
        <v>16</v>
      </c>
      <c r="J235" t="s">
        <v>16</v>
      </c>
      <c r="K235" t="s">
        <v>16</v>
      </c>
      <c r="L235" s="14" t="s">
        <v>16</v>
      </c>
    </row>
    <row r="236" spans="1:12" ht="12.75">
      <c r="A236" s="11" t="s">
        <v>17</v>
      </c>
      <c r="B236" t="s">
        <v>443</v>
      </c>
      <c r="C236" s="12" t="s">
        <v>444</v>
      </c>
      <c r="D236" t="s">
        <v>62</v>
      </c>
      <c r="E236" t="s">
        <v>14</v>
      </c>
      <c r="F236" t="s">
        <v>15</v>
      </c>
      <c r="G236" s="13" t="s">
        <v>16</v>
      </c>
      <c r="H236" s="13" t="s">
        <v>16</v>
      </c>
      <c r="I236" s="13" t="s">
        <v>16</v>
      </c>
      <c r="J236" t="s">
        <v>16</v>
      </c>
      <c r="K236" t="s">
        <v>16</v>
      </c>
      <c r="L236" s="14" t="s">
        <v>16</v>
      </c>
    </row>
    <row r="237" spans="1:12" ht="12.75">
      <c r="A237" s="11" t="s">
        <v>17</v>
      </c>
      <c r="B237" t="s">
        <v>445</v>
      </c>
      <c r="C237" s="12" t="s">
        <v>446</v>
      </c>
      <c r="D237" t="s">
        <v>62</v>
      </c>
      <c r="E237" t="s">
        <v>14</v>
      </c>
      <c r="F237" t="s">
        <v>15</v>
      </c>
      <c r="G237" s="13" t="s">
        <v>16</v>
      </c>
      <c r="H237" s="13" t="s">
        <v>16</v>
      </c>
      <c r="I237" s="13" t="s">
        <v>16</v>
      </c>
      <c r="J237" t="s">
        <v>16</v>
      </c>
      <c r="K237" t="s">
        <v>16</v>
      </c>
      <c r="L237" s="14" t="s">
        <v>16</v>
      </c>
    </row>
    <row r="238" spans="1:12" ht="12.75">
      <c r="A238" s="11" t="s">
        <v>17</v>
      </c>
      <c r="B238" t="s">
        <v>447</v>
      </c>
      <c r="C238" s="12" t="s">
        <v>448</v>
      </c>
      <c r="D238" t="s">
        <v>62</v>
      </c>
      <c r="E238" t="s">
        <v>14</v>
      </c>
      <c r="F238" t="s">
        <v>15</v>
      </c>
      <c r="G238" s="13" t="s">
        <v>16</v>
      </c>
      <c r="H238" s="13" t="s">
        <v>16</v>
      </c>
      <c r="I238" s="13" t="s">
        <v>16</v>
      </c>
      <c r="J238" t="s">
        <v>16</v>
      </c>
      <c r="K238" t="s">
        <v>16</v>
      </c>
      <c r="L238" s="14" t="s">
        <v>16</v>
      </c>
    </row>
    <row r="239" spans="1:12" ht="12.75">
      <c r="A239" s="11" t="s">
        <v>17</v>
      </c>
      <c r="B239" t="s">
        <v>449</v>
      </c>
      <c r="C239" s="12" t="s">
        <v>450</v>
      </c>
      <c r="D239" t="s">
        <v>62</v>
      </c>
      <c r="E239" t="s">
        <v>14</v>
      </c>
      <c r="F239" t="s">
        <v>15</v>
      </c>
      <c r="G239" s="13" t="s">
        <v>16</v>
      </c>
      <c r="H239" s="13" t="s">
        <v>16</v>
      </c>
      <c r="I239" s="13" t="s">
        <v>16</v>
      </c>
      <c r="J239" t="s">
        <v>16</v>
      </c>
      <c r="K239" t="s">
        <v>16</v>
      </c>
      <c r="L239" s="14" t="s">
        <v>16</v>
      </c>
    </row>
    <row r="240" spans="1:12" ht="12.75">
      <c r="A240" s="11" t="s">
        <v>17</v>
      </c>
      <c r="B240" t="s">
        <v>451</v>
      </c>
      <c r="C240" s="12" t="s">
        <v>452</v>
      </c>
      <c r="D240" t="s">
        <v>62</v>
      </c>
      <c r="E240" t="s">
        <v>14</v>
      </c>
      <c r="F240" t="s">
        <v>15</v>
      </c>
      <c r="G240" s="13" t="s">
        <v>16</v>
      </c>
      <c r="H240" s="13" t="s">
        <v>16</v>
      </c>
      <c r="I240" s="13" t="s">
        <v>16</v>
      </c>
      <c r="J240" t="s">
        <v>16</v>
      </c>
      <c r="K240" t="s">
        <v>16</v>
      </c>
      <c r="L240" s="14" t="s">
        <v>16</v>
      </c>
    </row>
    <row r="241" spans="1:12" ht="12.75">
      <c r="A241" s="11" t="s">
        <v>17</v>
      </c>
      <c r="B241" t="s">
        <v>453</v>
      </c>
      <c r="C241" s="12" t="s">
        <v>454</v>
      </c>
      <c r="D241" t="s">
        <v>62</v>
      </c>
      <c r="E241" t="s">
        <v>14</v>
      </c>
      <c r="F241" t="s">
        <v>15</v>
      </c>
      <c r="G241" s="13" t="s">
        <v>16</v>
      </c>
      <c r="H241" s="13" t="s">
        <v>16</v>
      </c>
      <c r="I241" s="13" t="s">
        <v>16</v>
      </c>
      <c r="J241" t="s">
        <v>16</v>
      </c>
      <c r="K241" t="s">
        <v>16</v>
      </c>
      <c r="L241" s="14" t="s">
        <v>16</v>
      </c>
    </row>
    <row r="242" spans="1:12" ht="12.75">
      <c r="A242" s="11" t="s">
        <v>17</v>
      </c>
      <c r="B242" t="s">
        <v>455</v>
      </c>
      <c r="C242" s="12" t="s">
        <v>456</v>
      </c>
      <c r="D242" t="s">
        <v>62</v>
      </c>
      <c r="E242" t="s">
        <v>14</v>
      </c>
      <c r="F242" t="s">
        <v>15</v>
      </c>
      <c r="G242" s="13" t="s">
        <v>16</v>
      </c>
      <c r="H242" s="13" t="s">
        <v>16</v>
      </c>
      <c r="I242" s="13" t="s">
        <v>16</v>
      </c>
      <c r="J242" t="s">
        <v>16</v>
      </c>
      <c r="K242" t="s">
        <v>16</v>
      </c>
      <c r="L242" s="14" t="s">
        <v>16</v>
      </c>
    </row>
    <row r="243" spans="1:12" ht="12.75">
      <c r="A243" s="11" t="s">
        <v>17</v>
      </c>
      <c r="B243" t="s">
        <v>457</v>
      </c>
      <c r="C243" s="12" t="s">
        <v>458</v>
      </c>
      <c r="D243" t="s">
        <v>62</v>
      </c>
      <c r="E243" t="s">
        <v>14</v>
      </c>
      <c r="F243" t="s">
        <v>15</v>
      </c>
      <c r="G243" s="13" t="s">
        <v>16</v>
      </c>
      <c r="H243" s="13" t="s">
        <v>16</v>
      </c>
      <c r="I243" s="13" t="s">
        <v>16</v>
      </c>
      <c r="J243" t="s">
        <v>16</v>
      </c>
      <c r="K243" t="s">
        <v>16</v>
      </c>
      <c r="L243" s="14" t="s">
        <v>16</v>
      </c>
    </row>
    <row r="244" spans="1:12" ht="12.75">
      <c r="A244" s="11" t="s">
        <v>17</v>
      </c>
      <c r="B244" t="s">
        <v>459</v>
      </c>
      <c r="C244" s="12" t="s">
        <v>460</v>
      </c>
      <c r="D244" t="s">
        <v>62</v>
      </c>
      <c r="E244" t="s">
        <v>14</v>
      </c>
      <c r="F244" t="s">
        <v>15</v>
      </c>
      <c r="G244" s="13" t="s">
        <v>16</v>
      </c>
      <c r="H244" s="13" t="s">
        <v>16</v>
      </c>
      <c r="I244" s="13" t="s">
        <v>16</v>
      </c>
      <c r="J244" t="s">
        <v>16</v>
      </c>
      <c r="K244" t="s">
        <v>16</v>
      </c>
      <c r="L244" s="14" t="s">
        <v>16</v>
      </c>
    </row>
    <row r="245" spans="1:12" ht="12.75">
      <c r="A245" s="11" t="s">
        <v>17</v>
      </c>
      <c r="B245" t="s">
        <v>461</v>
      </c>
      <c r="C245" s="12" t="s">
        <v>462</v>
      </c>
      <c r="D245" t="s">
        <v>62</v>
      </c>
      <c r="E245" t="s">
        <v>14</v>
      </c>
      <c r="F245" t="s">
        <v>15</v>
      </c>
      <c r="G245" s="13" t="s">
        <v>16</v>
      </c>
      <c r="H245" s="13" t="s">
        <v>16</v>
      </c>
      <c r="I245" s="13" t="s">
        <v>16</v>
      </c>
      <c r="J245" t="s">
        <v>16</v>
      </c>
      <c r="K245" t="s">
        <v>16</v>
      </c>
      <c r="L245" s="14" t="s">
        <v>16</v>
      </c>
    </row>
    <row r="246" spans="1:12" ht="12.75">
      <c r="A246" s="11" t="s">
        <v>17</v>
      </c>
      <c r="B246" t="s">
        <v>463</v>
      </c>
      <c r="C246" s="12" t="s">
        <v>464</v>
      </c>
      <c r="D246" t="s">
        <v>62</v>
      </c>
      <c r="E246" t="s">
        <v>14</v>
      </c>
      <c r="F246" t="s">
        <v>15</v>
      </c>
      <c r="G246" s="13" t="s">
        <v>16</v>
      </c>
      <c r="H246" s="13" t="s">
        <v>16</v>
      </c>
      <c r="I246" s="13" t="s">
        <v>16</v>
      </c>
      <c r="J246" t="s">
        <v>16</v>
      </c>
      <c r="K246" t="s">
        <v>16</v>
      </c>
      <c r="L246" s="14" t="s">
        <v>16</v>
      </c>
    </row>
    <row r="247" spans="1:12" ht="12.75">
      <c r="A247" s="11" t="s">
        <v>17</v>
      </c>
      <c r="B247" t="s">
        <v>465</v>
      </c>
      <c r="C247" s="12" t="s">
        <v>466</v>
      </c>
      <c r="D247" t="s">
        <v>62</v>
      </c>
      <c r="E247" t="s">
        <v>14</v>
      </c>
      <c r="F247" t="s">
        <v>15</v>
      </c>
      <c r="G247" s="13" t="s">
        <v>16</v>
      </c>
      <c r="H247" s="13" t="s">
        <v>16</v>
      </c>
      <c r="I247" s="13" t="s">
        <v>16</v>
      </c>
      <c r="J247" t="s">
        <v>16</v>
      </c>
      <c r="K247" t="s">
        <v>16</v>
      </c>
      <c r="L247" s="14" t="s">
        <v>16</v>
      </c>
    </row>
    <row r="248" spans="1:12" ht="12.75">
      <c r="A248" s="11" t="s">
        <v>17</v>
      </c>
      <c r="B248" t="s">
        <v>467</v>
      </c>
      <c r="C248" s="12" t="s">
        <v>468</v>
      </c>
      <c r="D248" t="s">
        <v>62</v>
      </c>
      <c r="E248" t="s">
        <v>14</v>
      </c>
      <c r="F248" t="s">
        <v>15</v>
      </c>
      <c r="G248" s="13" t="s">
        <v>16</v>
      </c>
      <c r="H248" s="13" t="s">
        <v>16</v>
      </c>
      <c r="I248" s="13" t="s">
        <v>16</v>
      </c>
      <c r="J248" t="s">
        <v>16</v>
      </c>
      <c r="K248" t="s">
        <v>16</v>
      </c>
      <c r="L248" s="14" t="s">
        <v>16</v>
      </c>
    </row>
    <row r="249" spans="1:12" ht="12.75">
      <c r="A249" s="11" t="s">
        <v>17</v>
      </c>
      <c r="B249" t="s">
        <v>469</v>
      </c>
      <c r="C249" s="12" t="s">
        <v>470</v>
      </c>
      <c r="D249" t="s">
        <v>62</v>
      </c>
      <c r="E249" t="s">
        <v>14</v>
      </c>
      <c r="F249" t="s">
        <v>15</v>
      </c>
      <c r="G249" s="13" t="s">
        <v>16</v>
      </c>
      <c r="H249" s="13" t="s">
        <v>16</v>
      </c>
      <c r="I249" s="13" t="s">
        <v>16</v>
      </c>
      <c r="J249" t="s">
        <v>16</v>
      </c>
      <c r="K249" t="s">
        <v>16</v>
      </c>
      <c r="L249" s="14" t="s">
        <v>16</v>
      </c>
    </row>
    <row r="250" spans="1:12" ht="12.75">
      <c r="A250" s="11" t="s">
        <v>17</v>
      </c>
      <c r="B250" t="s">
        <v>471</v>
      </c>
      <c r="C250" s="12" t="s">
        <v>472</v>
      </c>
      <c r="D250" t="s">
        <v>62</v>
      </c>
      <c r="E250" t="s">
        <v>14</v>
      </c>
      <c r="F250" t="s">
        <v>15</v>
      </c>
      <c r="G250" s="13" t="s">
        <v>16</v>
      </c>
      <c r="H250" s="13" t="s">
        <v>16</v>
      </c>
      <c r="I250" s="13" t="s">
        <v>16</v>
      </c>
      <c r="J250" t="s">
        <v>16</v>
      </c>
      <c r="K250" t="s">
        <v>16</v>
      </c>
      <c r="L250" s="14" t="s">
        <v>16</v>
      </c>
    </row>
    <row r="251" spans="1:12" ht="12.75">
      <c r="A251" s="11" t="s">
        <v>17</v>
      </c>
      <c r="B251" t="s">
        <v>473</v>
      </c>
      <c r="C251" s="12" t="s">
        <v>474</v>
      </c>
      <c r="D251" t="s">
        <v>62</v>
      </c>
      <c r="E251" t="s">
        <v>14</v>
      </c>
      <c r="F251" t="s">
        <v>15</v>
      </c>
      <c r="G251" s="13" t="s">
        <v>16</v>
      </c>
      <c r="H251" s="13" t="s">
        <v>16</v>
      </c>
      <c r="I251" s="13" t="s">
        <v>16</v>
      </c>
      <c r="J251" t="s">
        <v>16</v>
      </c>
      <c r="K251" t="s">
        <v>16</v>
      </c>
      <c r="L251" s="14" t="s">
        <v>16</v>
      </c>
    </row>
    <row r="252" spans="1:12" ht="12.75">
      <c r="A252" s="11" t="s">
        <v>17</v>
      </c>
      <c r="B252" t="s">
        <v>475</v>
      </c>
      <c r="C252" s="12" t="s">
        <v>476</v>
      </c>
      <c r="D252" t="s">
        <v>62</v>
      </c>
      <c r="E252" t="s">
        <v>14</v>
      </c>
      <c r="F252" t="s">
        <v>15</v>
      </c>
      <c r="G252" s="13" t="s">
        <v>16</v>
      </c>
      <c r="H252" s="13" t="s">
        <v>16</v>
      </c>
      <c r="I252" s="13" t="s">
        <v>16</v>
      </c>
      <c r="J252" t="s">
        <v>16</v>
      </c>
      <c r="K252" t="s">
        <v>16</v>
      </c>
      <c r="L252" s="14" t="s">
        <v>16</v>
      </c>
    </row>
    <row r="253" spans="1:12" ht="12.75">
      <c r="A253" s="11" t="s">
        <v>17</v>
      </c>
      <c r="B253" t="s">
        <v>477</v>
      </c>
      <c r="C253" s="12" t="s">
        <v>478</v>
      </c>
      <c r="D253" t="s">
        <v>62</v>
      </c>
      <c r="E253" t="s">
        <v>14</v>
      </c>
      <c r="F253" t="s">
        <v>15</v>
      </c>
      <c r="G253" s="13" t="s">
        <v>16</v>
      </c>
      <c r="H253" s="13" t="s">
        <v>16</v>
      </c>
      <c r="I253" s="13" t="s">
        <v>16</v>
      </c>
      <c r="J253" t="s">
        <v>16</v>
      </c>
      <c r="K253" t="s">
        <v>16</v>
      </c>
      <c r="L253" s="14" t="s">
        <v>16</v>
      </c>
    </row>
    <row r="254" spans="1:12" ht="12.75">
      <c r="A254" s="11" t="s">
        <v>17</v>
      </c>
      <c r="B254" t="s">
        <v>479</v>
      </c>
      <c r="C254" s="12" t="s">
        <v>480</v>
      </c>
      <c r="D254" t="s">
        <v>62</v>
      </c>
      <c r="E254" t="s">
        <v>14</v>
      </c>
      <c r="F254" t="s">
        <v>15</v>
      </c>
      <c r="G254" s="13" t="s">
        <v>16</v>
      </c>
      <c r="H254" s="13" t="s">
        <v>16</v>
      </c>
      <c r="I254" s="13" t="s">
        <v>16</v>
      </c>
      <c r="J254" t="s">
        <v>16</v>
      </c>
      <c r="K254" t="s">
        <v>16</v>
      </c>
      <c r="L254" s="14" t="s">
        <v>16</v>
      </c>
    </row>
    <row r="255" spans="1:12" ht="12.75">
      <c r="A255" s="11" t="s">
        <v>17</v>
      </c>
      <c r="B255" t="s">
        <v>481</v>
      </c>
      <c r="C255" s="12" t="s">
        <v>482</v>
      </c>
      <c r="D255" t="s">
        <v>62</v>
      </c>
      <c r="E255" t="s">
        <v>14</v>
      </c>
      <c r="F255" t="s">
        <v>15</v>
      </c>
      <c r="G255" s="13" t="s">
        <v>16</v>
      </c>
      <c r="H255" s="13" t="s">
        <v>16</v>
      </c>
      <c r="I255" s="13" t="s">
        <v>16</v>
      </c>
      <c r="J255" t="s">
        <v>16</v>
      </c>
      <c r="K255" t="s">
        <v>16</v>
      </c>
      <c r="L255" s="14" t="s">
        <v>16</v>
      </c>
    </row>
    <row r="256" spans="1:12" ht="12.75">
      <c r="A256" s="11" t="s">
        <v>17</v>
      </c>
      <c r="B256" t="s">
        <v>483</v>
      </c>
      <c r="C256" s="12" t="s">
        <v>354</v>
      </c>
      <c r="D256" t="s">
        <v>484</v>
      </c>
      <c r="E256" t="s">
        <v>14</v>
      </c>
      <c r="F256" t="s">
        <v>15</v>
      </c>
      <c r="G256" s="13" t="s">
        <v>16</v>
      </c>
      <c r="H256" s="13" t="s">
        <v>16</v>
      </c>
      <c r="I256" s="13" t="s">
        <v>16</v>
      </c>
      <c r="J256" t="s">
        <v>16</v>
      </c>
      <c r="K256" t="s">
        <v>16</v>
      </c>
      <c r="L256" s="14" t="s">
        <v>16</v>
      </c>
    </row>
    <row r="257" spans="3:12" ht="12.75">
      <c r="C257" s="12"/>
      <c r="L257" s="12"/>
    </row>
    <row r="258" spans="3:12" ht="12.75">
      <c r="C258" s="12"/>
      <c r="L258" s="12"/>
    </row>
    <row r="259" spans="3:12" ht="12.75">
      <c r="C259" s="12"/>
      <c r="L259" s="12"/>
    </row>
    <row r="260" spans="3:12" ht="12.75">
      <c r="C260" s="12"/>
      <c r="L260" s="12"/>
    </row>
    <row r="261" spans="3:12" ht="12.75">
      <c r="C261" s="12"/>
      <c r="L261" s="12"/>
    </row>
    <row r="262" spans="3:12" ht="12.75">
      <c r="C262" s="12"/>
      <c r="L262" s="12"/>
    </row>
    <row r="263" spans="3:12" ht="12.75">
      <c r="C263" s="12"/>
      <c r="L263" s="12"/>
    </row>
    <row r="264" spans="3:12" ht="12.75">
      <c r="C264" s="12"/>
      <c r="L264" s="12"/>
    </row>
    <row r="265" spans="3:12" ht="12.75">
      <c r="C265" s="12"/>
      <c r="L265" s="12"/>
    </row>
    <row r="266" spans="3:12" ht="12.75">
      <c r="C266" s="12"/>
      <c r="L266" s="12"/>
    </row>
    <row r="267" spans="3:12" ht="12.75">
      <c r="C267" s="12"/>
      <c r="L267" s="12"/>
    </row>
    <row r="268" spans="3:12" ht="12.75">
      <c r="C268" s="12"/>
      <c r="L268" s="12"/>
    </row>
    <row r="269" spans="3:12" ht="12.75">
      <c r="C269" s="12"/>
      <c r="L269" s="12"/>
    </row>
    <row r="270" spans="3:12" ht="12.75">
      <c r="C270" s="12"/>
      <c r="L270" s="12"/>
    </row>
    <row r="271" spans="3:12" ht="12.75">
      <c r="C271" s="12"/>
      <c r="L271" s="12"/>
    </row>
    <row r="272" spans="3:12" ht="12.75">
      <c r="C272" s="12"/>
      <c r="L272" s="12"/>
    </row>
    <row r="273" spans="3:12" ht="12.75">
      <c r="C273" s="12"/>
      <c r="L273" s="12"/>
    </row>
    <row r="274" spans="3:12" ht="12.75">
      <c r="C274" s="12"/>
      <c r="L274" s="12"/>
    </row>
    <row r="275" spans="3:12" ht="12.75">
      <c r="C275" s="12"/>
      <c r="L275" s="12"/>
    </row>
    <row r="276" spans="3:12" ht="12.75">
      <c r="C276" s="12"/>
      <c r="L276" s="12"/>
    </row>
    <row r="277" spans="3:12" ht="12.75">
      <c r="C277" s="12"/>
      <c r="L277" s="12"/>
    </row>
    <row r="278" spans="3:12" ht="12.75">
      <c r="C278" s="12"/>
      <c r="L278" s="12"/>
    </row>
    <row r="279" spans="3:12" ht="12.75">
      <c r="C279" s="12"/>
      <c r="L279" s="12"/>
    </row>
    <row r="280" spans="3:12" ht="12.75">
      <c r="C280" s="12"/>
      <c r="L280" s="12"/>
    </row>
    <row r="281" spans="3:12" ht="12.75">
      <c r="C281" s="12"/>
      <c r="L281" s="12"/>
    </row>
    <row r="282" spans="3:12" ht="12.75">
      <c r="C282" s="12"/>
      <c r="L282" s="12"/>
    </row>
    <row r="283" spans="3:12" ht="12.75">
      <c r="C283" s="12"/>
      <c r="L283" s="12"/>
    </row>
    <row r="284" spans="3:12" ht="12.75">
      <c r="C284" s="12"/>
      <c r="L284" s="12"/>
    </row>
    <row r="285" spans="3:12" ht="12.75">
      <c r="C285" s="12"/>
      <c r="L285" s="12"/>
    </row>
    <row r="286" spans="3:12" ht="12.75">
      <c r="C286" s="12"/>
      <c r="L286" s="12"/>
    </row>
    <row r="287" spans="3:12" ht="12.75">
      <c r="C287" s="12"/>
      <c r="L287" s="12"/>
    </row>
    <row r="288" spans="3:12" ht="12.75">
      <c r="C288" s="12"/>
      <c r="L288" s="12"/>
    </row>
    <row r="289" spans="3:12" ht="12.75">
      <c r="C289" s="12"/>
      <c r="L289" s="12"/>
    </row>
    <row r="290" spans="3:12" ht="12.75">
      <c r="C290" s="12"/>
      <c r="L290" s="12"/>
    </row>
    <row r="291" spans="3:12" ht="12.75">
      <c r="C291" s="12"/>
      <c r="L291" s="12"/>
    </row>
    <row r="292" spans="3:12" ht="12.75">
      <c r="C292" s="12"/>
      <c r="L292" s="12"/>
    </row>
    <row r="293" spans="3:12" ht="12.75">
      <c r="C293" s="12"/>
      <c r="L293" s="12"/>
    </row>
    <row r="294" spans="3:12" ht="12.75">
      <c r="C294" s="12"/>
      <c r="L294" s="12"/>
    </row>
    <row r="295" spans="3:12" ht="12.75">
      <c r="C295" s="12"/>
      <c r="L295" s="12"/>
    </row>
    <row r="296" spans="3:12" ht="12.75">
      <c r="C296" s="12"/>
      <c r="L296" s="12"/>
    </row>
    <row r="297" spans="3:12" ht="12.75">
      <c r="C297" s="12"/>
      <c r="L297" s="12"/>
    </row>
    <row r="298" spans="3:12" ht="12.75">
      <c r="C298" s="12"/>
      <c r="L298" s="12"/>
    </row>
    <row r="299" spans="3:12" ht="12.75">
      <c r="C299" s="12"/>
      <c r="L299" s="12"/>
    </row>
    <row r="300" spans="3:12" ht="12.75">
      <c r="C300" s="12"/>
      <c r="L300" s="12"/>
    </row>
    <row r="301" spans="3:12" ht="12.75">
      <c r="C301" s="12"/>
      <c r="L301" s="12"/>
    </row>
    <row r="302" spans="3:12" ht="12.75">
      <c r="C302" s="12"/>
      <c r="L302" s="12"/>
    </row>
    <row r="303" spans="3:12" ht="12.75">
      <c r="C303" s="12"/>
      <c r="L303" s="12"/>
    </row>
    <row r="304" spans="3:12" ht="12.75">
      <c r="C304" s="12"/>
      <c r="L304" s="12"/>
    </row>
    <row r="305" spans="3:12" ht="12.75">
      <c r="C305" s="12"/>
      <c r="L305" s="12"/>
    </row>
    <row r="306" spans="3:12" ht="12.75">
      <c r="C306" s="12"/>
      <c r="L306" s="12"/>
    </row>
    <row r="307" spans="3:12" ht="12.75">
      <c r="C307" s="12"/>
      <c r="L307" s="12"/>
    </row>
    <row r="308" spans="3:12" ht="12.75">
      <c r="C308" s="12"/>
      <c r="L308" s="12"/>
    </row>
    <row r="309" spans="3:12" ht="12.75">
      <c r="C309" s="12"/>
      <c r="L309" s="12"/>
    </row>
    <row r="310" spans="3:12" ht="12.75">
      <c r="C310" s="12"/>
      <c r="L310" s="12"/>
    </row>
    <row r="311" spans="3:12" ht="12.75">
      <c r="C311" s="12"/>
      <c r="L311" s="12"/>
    </row>
    <row r="312" spans="3:12" ht="12.75">
      <c r="C312" s="12"/>
      <c r="L312" s="12"/>
    </row>
    <row r="313" spans="3:12" ht="12.75">
      <c r="C313" s="12"/>
      <c r="L313" s="12"/>
    </row>
    <row r="314" spans="3:12" ht="12.75">
      <c r="C314" s="12"/>
      <c r="L314" s="12"/>
    </row>
    <row r="315" spans="3:12" ht="12.75">
      <c r="C315" s="12"/>
      <c r="L315" s="12"/>
    </row>
    <row r="316" spans="3:12" ht="12.75">
      <c r="C316" s="12"/>
      <c r="L316" s="12"/>
    </row>
    <row r="317" spans="3:12" ht="12.75">
      <c r="C317" s="12"/>
      <c r="L317" s="12"/>
    </row>
    <row r="318" spans="3:12" ht="12.75">
      <c r="C318" s="12"/>
      <c r="L318" s="12"/>
    </row>
    <row r="319" spans="3:12" ht="12.75">
      <c r="C319" s="12"/>
      <c r="L319" s="12"/>
    </row>
    <row r="320" spans="3:12" ht="12.75">
      <c r="C320" s="12"/>
      <c r="L320" s="12"/>
    </row>
    <row r="321" spans="3:12" ht="12.75">
      <c r="C321" s="12"/>
      <c r="L321" s="12"/>
    </row>
    <row r="322" spans="3:12" ht="12.75">
      <c r="C322" s="12"/>
      <c r="L322" s="12"/>
    </row>
    <row r="323" spans="3:12" ht="12.75">
      <c r="C323" s="12"/>
      <c r="L323" s="12"/>
    </row>
    <row r="324" spans="3:12" ht="12.75">
      <c r="C324" s="12"/>
      <c r="L324" s="12"/>
    </row>
    <row r="325" spans="3:12" ht="12.75">
      <c r="C325" s="12"/>
      <c r="L325" s="12"/>
    </row>
    <row r="326" spans="3:12" ht="12.75">
      <c r="C326" s="12"/>
      <c r="L326" s="12"/>
    </row>
    <row r="327" spans="3:12" ht="12.75">
      <c r="C327" s="12"/>
      <c r="L327" s="12"/>
    </row>
    <row r="328" spans="3:12" ht="12.75">
      <c r="C328" s="12"/>
      <c r="L328" s="12"/>
    </row>
    <row r="329" spans="3:12" ht="12.75">
      <c r="C329" s="12"/>
      <c r="L329" s="12"/>
    </row>
    <row r="330" spans="3:12" ht="12.75">
      <c r="C330" s="12"/>
      <c r="L330" s="12"/>
    </row>
    <row r="331" spans="3:12" ht="12.75">
      <c r="C331" s="12"/>
      <c r="L331" s="12"/>
    </row>
    <row r="332" spans="3:12" ht="12.75">
      <c r="C332" s="12"/>
      <c r="L332" s="12"/>
    </row>
    <row r="333" spans="3:12" ht="12.75">
      <c r="C333" s="12"/>
      <c r="L333" s="12"/>
    </row>
    <row r="334" spans="3:12" ht="12.75">
      <c r="C334" s="12"/>
      <c r="L334" s="12"/>
    </row>
    <row r="335" spans="3:12" ht="12.75">
      <c r="C335" s="12"/>
      <c r="L335" s="12"/>
    </row>
    <row r="336" spans="3:12" ht="12.75">
      <c r="C336" s="12"/>
      <c r="L336" s="12"/>
    </row>
    <row r="337" spans="3:12" ht="12.75">
      <c r="C337" s="12"/>
      <c r="L337" s="12"/>
    </row>
    <row r="338" spans="3:12" ht="12.75">
      <c r="C338" s="12"/>
      <c r="L338" s="12"/>
    </row>
    <row r="339" spans="3:12" ht="12.75">
      <c r="C339" s="12"/>
      <c r="L339" s="12"/>
    </row>
    <row r="340" spans="3:12" ht="12.75">
      <c r="C340" s="12"/>
      <c r="L340" s="12"/>
    </row>
    <row r="341" spans="3:12" ht="12.75">
      <c r="C341" s="12"/>
      <c r="L341" s="12"/>
    </row>
    <row r="342" spans="3:12" ht="12.75">
      <c r="C342" s="12"/>
      <c r="L342" s="12"/>
    </row>
    <row r="343" spans="3:12" ht="12.75">
      <c r="C343" s="12"/>
      <c r="L343" s="12"/>
    </row>
    <row r="344" spans="3:12" ht="12.75">
      <c r="C344" s="12"/>
      <c r="L344" s="12"/>
    </row>
    <row r="345" spans="3:12" ht="12.75">
      <c r="C345" s="12"/>
      <c r="L345" s="12"/>
    </row>
    <row r="346" spans="3:12" ht="12.75">
      <c r="C346" s="12"/>
      <c r="L346" s="12"/>
    </row>
    <row r="347" spans="3:12" ht="12.75">
      <c r="C347" s="12"/>
      <c r="L347" s="12"/>
    </row>
    <row r="348" spans="3:12" ht="12.75">
      <c r="C348" s="12"/>
      <c r="L348" s="12"/>
    </row>
    <row r="349" spans="3:12" ht="12.75">
      <c r="C349" s="12"/>
      <c r="L349" s="12"/>
    </row>
    <row r="350" spans="3:12" ht="12.75">
      <c r="C350" s="12"/>
      <c r="L350" s="12"/>
    </row>
    <row r="351" spans="3:12" ht="12.75">
      <c r="C351" s="12"/>
      <c r="L351" s="12"/>
    </row>
    <row r="352" spans="3:12" ht="12.75">
      <c r="C352" s="12"/>
      <c r="L352" s="12"/>
    </row>
    <row r="353" spans="3:12" ht="12.75">
      <c r="C353" s="12"/>
      <c r="L353" s="12"/>
    </row>
    <row r="354" spans="3:12" ht="12.75">
      <c r="C354" s="12"/>
      <c r="L354" s="12"/>
    </row>
    <row r="355" spans="3:12" ht="12.75">
      <c r="C355" s="12"/>
      <c r="L355" s="12"/>
    </row>
    <row r="356" spans="3:12" ht="12.75">
      <c r="C356" s="12"/>
      <c r="L356" s="12"/>
    </row>
    <row r="357" spans="3:12" ht="12.75">
      <c r="C357" s="12"/>
      <c r="L357" s="12"/>
    </row>
    <row r="358" spans="3:12" ht="12.75">
      <c r="C358" s="12"/>
      <c r="L358" s="12"/>
    </row>
    <row r="359" spans="3:12" ht="12.75">
      <c r="C359" s="12"/>
      <c r="L359" s="12"/>
    </row>
    <row r="360" spans="3:12" ht="12.75">
      <c r="C360" s="12"/>
      <c r="L360" s="12"/>
    </row>
    <row r="361" spans="3:12" ht="12.75">
      <c r="C361" s="12"/>
      <c r="L361" s="12"/>
    </row>
    <row r="362" spans="3:12" ht="12.75">
      <c r="C362" s="12"/>
      <c r="L362" s="12"/>
    </row>
    <row r="363" spans="3:12" ht="12.75">
      <c r="C363" s="12"/>
      <c r="L363" s="12"/>
    </row>
    <row r="364" spans="3:12" ht="12.75">
      <c r="C364" s="12"/>
      <c r="L364" s="12"/>
    </row>
    <row r="365" spans="3:12" ht="12.75">
      <c r="C365" s="12"/>
      <c r="L365" s="12"/>
    </row>
    <row r="366" spans="3:12" ht="12.75">
      <c r="C366" s="12"/>
      <c r="L366" s="12"/>
    </row>
    <row r="367" spans="3:12" ht="12.75">
      <c r="C367" s="12"/>
      <c r="L367" s="12"/>
    </row>
    <row r="368" spans="3:12" ht="12.75">
      <c r="C368" s="12"/>
      <c r="L368" s="12"/>
    </row>
    <row r="369" spans="3:12" ht="12.75">
      <c r="C369" s="12"/>
      <c r="L369" s="12"/>
    </row>
    <row r="370" spans="3:12" ht="12.75">
      <c r="C370" s="12"/>
      <c r="L370" s="12"/>
    </row>
    <row r="371" spans="3:12" ht="12.75">
      <c r="C371" s="12"/>
      <c r="L371" s="12"/>
    </row>
    <row r="372" spans="3:12" ht="12.75">
      <c r="C372" s="12"/>
      <c r="L372" s="12"/>
    </row>
    <row r="373" spans="3:12" ht="12.75">
      <c r="C373" s="12"/>
      <c r="L373" s="12"/>
    </row>
    <row r="374" spans="3:12" ht="12.75">
      <c r="C374" s="12"/>
      <c r="L374" s="12"/>
    </row>
    <row r="375" spans="3:12" ht="12.75">
      <c r="C375" s="12"/>
      <c r="L375" s="12"/>
    </row>
    <row r="376" spans="3:12" ht="12.75">
      <c r="C376" s="12"/>
      <c r="L376" s="12"/>
    </row>
    <row r="377" spans="3:12" ht="12.75">
      <c r="C377" s="12"/>
      <c r="L377" s="12"/>
    </row>
    <row r="378" spans="3:12" ht="12.75">
      <c r="C378" s="12"/>
      <c r="L378" s="12"/>
    </row>
    <row r="379" spans="3:12" ht="12.75">
      <c r="C379" s="12"/>
      <c r="L379" s="12"/>
    </row>
    <row r="380" spans="3:12" ht="12.75">
      <c r="C380" s="12"/>
      <c r="L380" s="12"/>
    </row>
    <row r="381" spans="3:12" ht="12.75">
      <c r="C381" s="12"/>
      <c r="L381" s="12"/>
    </row>
    <row r="382" spans="3:12" ht="12.75">
      <c r="C382" s="12"/>
      <c r="L382" s="12"/>
    </row>
    <row r="383" spans="3:12" ht="12.75">
      <c r="C383" s="12"/>
      <c r="L383" s="12"/>
    </row>
    <row r="384" spans="3:12" ht="12.75">
      <c r="C384" s="12"/>
      <c r="L384" s="12"/>
    </row>
    <row r="385" spans="3:12" ht="12.75">
      <c r="C385" s="12"/>
      <c r="L385" s="12"/>
    </row>
    <row r="386" spans="3:12" ht="12.75">
      <c r="C386" s="12"/>
      <c r="L386" s="12"/>
    </row>
    <row r="387" spans="3:12" ht="12.75">
      <c r="C387" s="12"/>
      <c r="L387" s="12"/>
    </row>
    <row r="388" spans="3:12" ht="12.75">
      <c r="C388" s="12"/>
      <c r="L388" s="12"/>
    </row>
    <row r="389" spans="3:12" ht="12.75">
      <c r="C389" s="12"/>
      <c r="L389" s="12"/>
    </row>
    <row r="390" spans="3:12" ht="12.75">
      <c r="C390" s="12"/>
      <c r="L390" s="12"/>
    </row>
    <row r="391" spans="3:12" ht="12.75">
      <c r="C391" s="12"/>
      <c r="L391" s="12"/>
    </row>
    <row r="392" spans="3:12" ht="12.75">
      <c r="C392" s="12"/>
      <c r="L392" s="12"/>
    </row>
    <row r="393" spans="3:12" ht="12.75">
      <c r="C393" s="12"/>
      <c r="L393" s="12"/>
    </row>
    <row r="394" spans="3:12" ht="12.75">
      <c r="C394" s="12"/>
      <c r="L394" s="12"/>
    </row>
    <row r="395" spans="3:12" ht="12.75">
      <c r="C395" s="12"/>
      <c r="L395" s="12"/>
    </row>
    <row r="396" spans="3:12" ht="12.75">
      <c r="C396" s="12"/>
      <c r="L396" s="12"/>
    </row>
    <row r="397" spans="3:12" ht="12.75">
      <c r="C397" s="12"/>
      <c r="L397" s="12"/>
    </row>
    <row r="398" spans="3:12" ht="12.75">
      <c r="C398" s="12"/>
      <c r="L398" s="12"/>
    </row>
    <row r="399" spans="3:12" ht="12.75">
      <c r="C399" s="12"/>
      <c r="L399" s="12"/>
    </row>
    <row r="400" spans="3:12" ht="12.75">
      <c r="C400" s="12"/>
      <c r="L400" s="12"/>
    </row>
    <row r="401" spans="3:12" ht="12.75">
      <c r="C401" s="12"/>
      <c r="L401" s="12"/>
    </row>
    <row r="402" spans="3:12" ht="12.75">
      <c r="C402" s="12"/>
      <c r="L402" s="12"/>
    </row>
    <row r="403" spans="3:12" ht="12.75">
      <c r="C403" s="12"/>
      <c r="L403" s="12"/>
    </row>
    <row r="404" spans="3:12" ht="12.75">
      <c r="C404" s="12"/>
      <c r="L404" s="12"/>
    </row>
    <row r="405" spans="3:12" ht="12.75">
      <c r="C405" s="12"/>
      <c r="L405" s="12"/>
    </row>
    <row r="406" spans="3:12" ht="12.75">
      <c r="C406" s="12"/>
      <c r="L406" s="12"/>
    </row>
    <row r="407" spans="3:12" ht="12.75">
      <c r="C407" s="12"/>
      <c r="L407" s="12"/>
    </row>
    <row r="408" spans="3:12" ht="12.75">
      <c r="C408" s="12"/>
      <c r="L408" s="12"/>
    </row>
    <row r="409" spans="3:12" ht="12.75">
      <c r="C409" s="12"/>
      <c r="L409" s="12"/>
    </row>
    <row r="410" spans="3:12" ht="12.75">
      <c r="C410" s="12"/>
      <c r="L410" s="12"/>
    </row>
    <row r="411" spans="3:12" ht="12.75">
      <c r="C411" s="12"/>
      <c r="L411" s="12"/>
    </row>
    <row r="412" spans="3:12" ht="12.75">
      <c r="C412" s="12"/>
      <c r="L412" s="12"/>
    </row>
    <row r="413" spans="3:12" ht="12.75">
      <c r="C413" s="12"/>
      <c r="L413" s="12"/>
    </row>
    <row r="414" spans="3:12" ht="12.75">
      <c r="C414" s="12"/>
      <c r="L414" s="12"/>
    </row>
    <row r="415" spans="3:12" ht="12.75">
      <c r="C415" s="12"/>
      <c r="L415" s="12"/>
    </row>
    <row r="416" spans="3:12" ht="12.75">
      <c r="C416" s="12"/>
      <c r="L416" s="12"/>
    </row>
    <row r="417" spans="3:12" ht="12.75">
      <c r="C417" s="12"/>
      <c r="L417" s="12"/>
    </row>
    <row r="418" spans="3:12" ht="12.75">
      <c r="C418" s="12"/>
      <c r="L418" s="12"/>
    </row>
    <row r="419" spans="3:12" ht="12.75">
      <c r="C419" s="12"/>
      <c r="L419" s="12"/>
    </row>
    <row r="420" spans="3:12" ht="12.75">
      <c r="C420" s="12"/>
      <c r="L420" s="12"/>
    </row>
    <row r="421" spans="3:12" ht="12.75">
      <c r="C421" s="12"/>
      <c r="L421" s="12"/>
    </row>
    <row r="422" spans="3:12" ht="12.75">
      <c r="C422" s="12"/>
      <c r="L422" s="12"/>
    </row>
    <row r="423" spans="3:12" ht="12.75">
      <c r="C423" s="12"/>
      <c r="L423" s="12"/>
    </row>
    <row r="424" spans="3:12" ht="12.75">
      <c r="C424" s="12"/>
      <c r="L424" s="12"/>
    </row>
    <row r="425" spans="3:12" ht="12.75">
      <c r="C425" s="12"/>
      <c r="L425" s="12"/>
    </row>
    <row r="426" spans="3:12" ht="12.75">
      <c r="C426" s="12"/>
      <c r="L426" s="12"/>
    </row>
    <row r="427" spans="3:12" ht="12.75">
      <c r="C427" s="12"/>
      <c r="L427" s="12"/>
    </row>
    <row r="428" spans="3:12" ht="12.75">
      <c r="C428" s="12"/>
      <c r="L428" s="12"/>
    </row>
    <row r="429" spans="3:12" ht="12.75">
      <c r="C429" s="12"/>
      <c r="L429" s="12"/>
    </row>
    <row r="430" spans="3:12" ht="12.75">
      <c r="C430" s="12"/>
      <c r="L430" s="12"/>
    </row>
    <row r="431" spans="3:12" ht="12.75">
      <c r="C431" s="12"/>
      <c r="L431" s="12"/>
    </row>
    <row r="432" spans="3:12" ht="12.75">
      <c r="C432" s="12"/>
      <c r="L432" s="12"/>
    </row>
    <row r="433" spans="3:12" ht="12.75">
      <c r="C433" s="12"/>
      <c r="L433" s="12"/>
    </row>
    <row r="434" spans="3:12" ht="12.75">
      <c r="C434" s="12"/>
      <c r="L434" s="12"/>
    </row>
    <row r="435" spans="3:12" ht="12.75">
      <c r="C435" s="12"/>
      <c r="L435" s="12"/>
    </row>
    <row r="436" spans="3:12" ht="12.75">
      <c r="C436" s="12"/>
      <c r="L436" s="12"/>
    </row>
    <row r="437" spans="3:12" ht="12.75">
      <c r="C437" s="12"/>
      <c r="L437" s="12"/>
    </row>
    <row r="438" spans="3:12" ht="12.75">
      <c r="C438" s="12"/>
      <c r="L438" s="12"/>
    </row>
    <row r="439" spans="3:12" ht="12.75">
      <c r="C439" s="12"/>
      <c r="L439" s="12"/>
    </row>
    <row r="440" spans="3:12" ht="12.75">
      <c r="C440" s="12"/>
      <c r="L440" s="12"/>
    </row>
    <row r="441" spans="3:12" ht="12.75">
      <c r="C441" s="12"/>
      <c r="L441" s="12"/>
    </row>
    <row r="442" spans="3:12" ht="12.75">
      <c r="C442" s="12"/>
      <c r="L442" s="12"/>
    </row>
    <row r="443" spans="3:12" ht="12.75">
      <c r="C443" s="12"/>
      <c r="L443" s="12"/>
    </row>
    <row r="444" spans="3:12" ht="12.75">
      <c r="C444" s="12"/>
      <c r="L444" s="12"/>
    </row>
    <row r="445" spans="3:12" ht="12.75">
      <c r="C445" s="12"/>
      <c r="L445" s="12"/>
    </row>
    <row r="446" spans="3:12" ht="12.75">
      <c r="C446" s="12"/>
      <c r="L446" s="12"/>
    </row>
    <row r="447" spans="3:12" ht="12.75">
      <c r="C447" s="12"/>
      <c r="L447" s="12"/>
    </row>
    <row r="448" spans="3:12" ht="12.75">
      <c r="C448" s="12"/>
      <c r="L448" s="12"/>
    </row>
    <row r="449" spans="3:12" ht="12.75">
      <c r="C449" s="12"/>
      <c r="L449" s="12"/>
    </row>
    <row r="450" spans="3:12" ht="12.75">
      <c r="C450" s="12"/>
      <c r="L450" s="12"/>
    </row>
    <row r="451" spans="3:12" ht="12.75">
      <c r="C451" s="12"/>
      <c r="L451" s="12"/>
    </row>
    <row r="452" spans="3:12" ht="12.75">
      <c r="C452" s="12"/>
      <c r="L452" s="12"/>
    </row>
    <row r="453" spans="3:12" ht="12.75">
      <c r="C453" s="12"/>
      <c r="L453" s="12"/>
    </row>
    <row r="454" spans="3:12" ht="12.75">
      <c r="C454" s="12"/>
      <c r="L454" s="12"/>
    </row>
    <row r="455" spans="3:12" ht="12.75">
      <c r="C455" s="12"/>
      <c r="L455" s="12"/>
    </row>
    <row r="456" spans="3:12" ht="12.75">
      <c r="C456" s="12"/>
      <c r="L456" s="12"/>
    </row>
    <row r="457" spans="3:12" ht="12.75">
      <c r="C457" s="12"/>
      <c r="L457" s="12"/>
    </row>
    <row r="458" spans="3:12" ht="12.75">
      <c r="C458" s="12"/>
      <c r="L458" s="12"/>
    </row>
    <row r="459" spans="3:12" ht="12.75">
      <c r="C459" s="12"/>
      <c r="L459" s="12"/>
    </row>
    <row r="460" spans="3:12" ht="12.75">
      <c r="C460" s="12"/>
      <c r="L460" s="12"/>
    </row>
    <row r="461" spans="3:12" ht="12.75">
      <c r="C461" s="12"/>
      <c r="L461" s="12"/>
    </row>
    <row r="462" spans="3:12" ht="12.75">
      <c r="C462" s="12"/>
      <c r="L462" s="12"/>
    </row>
    <row r="463" spans="3:12" ht="12.75">
      <c r="C463" s="12"/>
      <c r="L463" s="12"/>
    </row>
    <row r="464" spans="3:12" ht="12.75">
      <c r="C464" s="12"/>
      <c r="L464" s="12"/>
    </row>
    <row r="465" spans="3:12" ht="12.75">
      <c r="C465" s="12"/>
      <c r="L465" s="12"/>
    </row>
    <row r="466" spans="3:12" ht="12.75">
      <c r="C466" s="12"/>
      <c r="L466" s="12"/>
    </row>
    <row r="467" spans="3:12" ht="12.75">
      <c r="C467" s="12"/>
      <c r="L467" s="12"/>
    </row>
    <row r="468" spans="3:12" ht="12.75">
      <c r="C468" s="12"/>
      <c r="L468" s="12"/>
    </row>
    <row r="469" spans="3:12" ht="12.75">
      <c r="C469" s="12"/>
      <c r="L469" s="12"/>
    </row>
    <row r="470" spans="3:12" ht="12.75">
      <c r="C470" s="12"/>
      <c r="L470" s="12"/>
    </row>
    <row r="471" spans="3:12" ht="12.75">
      <c r="C471" s="12"/>
      <c r="L471" s="12"/>
    </row>
    <row r="472" spans="3:12" ht="12.75">
      <c r="C472" s="12"/>
      <c r="L472" s="12"/>
    </row>
    <row r="473" spans="3:12" ht="12.75">
      <c r="C473" s="12"/>
      <c r="L473" s="12"/>
    </row>
    <row r="474" spans="3:12" ht="12.75">
      <c r="C474" s="12"/>
      <c r="L474" s="12"/>
    </row>
    <row r="475" spans="3:12" ht="12.75">
      <c r="C475" s="12"/>
      <c r="L475" s="12"/>
    </row>
    <row r="476" spans="3:12" ht="12.75">
      <c r="C476" s="12"/>
      <c r="L476" s="12"/>
    </row>
    <row r="477" spans="3:12" ht="12.75">
      <c r="C477" s="12"/>
      <c r="L477" s="12"/>
    </row>
    <row r="478" spans="3:12" ht="12.75">
      <c r="C478" s="12"/>
      <c r="L478" s="12"/>
    </row>
    <row r="479" spans="3:12" ht="12.75">
      <c r="C479" s="12"/>
      <c r="L479" s="12"/>
    </row>
    <row r="480" spans="3:12" ht="12.75">
      <c r="C480" s="12"/>
      <c r="L480" s="12"/>
    </row>
    <row r="481" spans="3:12" ht="12.75">
      <c r="C481" s="12"/>
      <c r="L481" s="12"/>
    </row>
    <row r="482" spans="3:12" ht="12.75">
      <c r="C482" s="12"/>
      <c r="L482" s="12"/>
    </row>
    <row r="483" spans="3:12" ht="12.75">
      <c r="C483" s="12"/>
      <c r="L483" s="12"/>
    </row>
    <row r="484" spans="3:12" ht="12.75">
      <c r="C484" s="12"/>
      <c r="L484" s="12"/>
    </row>
    <row r="485" spans="3:12" ht="12.75">
      <c r="C485" s="12"/>
      <c r="L485" s="12"/>
    </row>
    <row r="486" spans="3:12" ht="12.75">
      <c r="C486" s="12"/>
      <c r="L486" s="12"/>
    </row>
    <row r="487" spans="3:12" ht="12.75">
      <c r="C487" s="12"/>
      <c r="L487" s="12"/>
    </row>
    <row r="488" spans="3:12" ht="12.75">
      <c r="C488" s="12"/>
      <c r="L488" s="12"/>
    </row>
    <row r="489" spans="3:12" ht="12.75">
      <c r="C489" s="12"/>
      <c r="L489" s="12"/>
    </row>
    <row r="490" spans="3:12" ht="12.75">
      <c r="C490" s="12"/>
      <c r="L490" s="12"/>
    </row>
    <row r="491" spans="3:12" ht="12.75">
      <c r="C491" s="12"/>
      <c r="L491" s="12"/>
    </row>
    <row r="492" spans="3:12" ht="12.75">
      <c r="C492" s="12"/>
      <c r="L492" s="12"/>
    </row>
    <row r="493" spans="3:12" ht="12.75">
      <c r="C493" s="12"/>
      <c r="L493" s="12"/>
    </row>
    <row r="494" spans="3:12" ht="12.75">
      <c r="C494" s="12"/>
      <c r="L494" s="12"/>
    </row>
    <row r="495" spans="3:12" ht="12.75">
      <c r="C495" s="12"/>
      <c r="L495" s="12"/>
    </row>
    <row r="496" spans="3:12" ht="12.75">
      <c r="C496" s="12"/>
      <c r="L496" s="12"/>
    </row>
    <row r="497" spans="3:12" ht="12.75">
      <c r="C497" s="12"/>
      <c r="L497" s="12"/>
    </row>
    <row r="498" spans="3:12" ht="12.75">
      <c r="C498" s="12"/>
      <c r="L498" s="12"/>
    </row>
    <row r="499" spans="3:12" ht="12.75">
      <c r="C499" s="12"/>
      <c r="L499" s="12"/>
    </row>
    <row r="500" spans="3:12" ht="12.75">
      <c r="C500" s="12"/>
      <c r="L500" s="12"/>
    </row>
    <row r="501" spans="3:12" ht="12.75">
      <c r="C501" s="12"/>
      <c r="L501" s="12"/>
    </row>
    <row r="502" spans="3:12" ht="12.75">
      <c r="C502" s="12"/>
      <c r="L502" s="12"/>
    </row>
    <row r="503" spans="3:12" ht="12.75">
      <c r="C503" s="12"/>
      <c r="L503" s="12"/>
    </row>
    <row r="504" spans="3:12" ht="12.75">
      <c r="C504" s="12"/>
      <c r="L504" s="12"/>
    </row>
    <row r="505" spans="3:12" ht="12.75">
      <c r="C505" s="12"/>
      <c r="L505" s="12"/>
    </row>
    <row r="506" spans="3:12" ht="12.75">
      <c r="C506" s="12"/>
      <c r="L506" s="12"/>
    </row>
    <row r="507" spans="3:12" ht="12.75">
      <c r="C507" s="12"/>
      <c r="L507" s="12"/>
    </row>
    <row r="508" spans="3:12" ht="12.75">
      <c r="C508" s="12"/>
      <c r="L508" s="12"/>
    </row>
    <row r="509" spans="3:12" ht="12.75">
      <c r="C509" s="12"/>
      <c r="L509" s="12"/>
    </row>
    <row r="510" spans="3:12" ht="12.75">
      <c r="C510" s="12"/>
      <c r="L510" s="12"/>
    </row>
    <row r="511" spans="3:12" ht="12.75">
      <c r="C511" s="12"/>
      <c r="L511" s="12"/>
    </row>
    <row r="512" spans="3:12" ht="12.75">
      <c r="C512" s="12"/>
      <c r="L512" s="12"/>
    </row>
    <row r="513" spans="3:12" ht="12.75">
      <c r="C513" s="12"/>
      <c r="L513" s="12"/>
    </row>
    <row r="514" spans="3:12" ht="12.75">
      <c r="C514" s="12"/>
      <c r="L514" s="12"/>
    </row>
    <row r="515" spans="3:12" ht="12.75">
      <c r="C515" s="12"/>
      <c r="L515" s="12"/>
    </row>
    <row r="516" spans="3:12" ht="12.75">
      <c r="C516" s="12"/>
      <c r="L516" s="12"/>
    </row>
    <row r="517" spans="3:12" ht="12.75">
      <c r="C517" s="12"/>
      <c r="L517" s="12"/>
    </row>
    <row r="518" spans="3:12" ht="12.75">
      <c r="C518" s="12"/>
      <c r="L518" s="12"/>
    </row>
    <row r="519" spans="3:12" ht="12.75">
      <c r="C519" s="12"/>
      <c r="L519" s="12"/>
    </row>
    <row r="520" spans="3:12" ht="12.75">
      <c r="C520" s="12"/>
      <c r="L520" s="12"/>
    </row>
    <row r="521" spans="3:12" ht="12.75">
      <c r="C521" s="12"/>
      <c r="L521" s="12"/>
    </row>
    <row r="522" spans="3:12" ht="12.75">
      <c r="C522" s="12"/>
      <c r="L522" s="12"/>
    </row>
    <row r="523" spans="3:12" ht="12.75">
      <c r="C523" s="12"/>
      <c r="L523" s="12"/>
    </row>
    <row r="524" spans="3:12" ht="12.75">
      <c r="C524" s="12"/>
      <c r="L524" s="12"/>
    </row>
    <row r="525" spans="3:12" ht="12.75">
      <c r="C525" s="12"/>
      <c r="L525" s="12"/>
    </row>
    <row r="526" spans="3:12" ht="12.75">
      <c r="C526" s="12"/>
      <c r="L526" s="12"/>
    </row>
    <row r="527" spans="3:12" ht="12.75">
      <c r="C527" s="12"/>
      <c r="L527" s="12"/>
    </row>
    <row r="528" spans="3:12" ht="12.75">
      <c r="C528" s="12"/>
      <c r="L528" s="12"/>
    </row>
    <row r="529" spans="3:12" ht="12.75">
      <c r="C529" s="12"/>
      <c r="L529" s="12"/>
    </row>
    <row r="530" spans="3:12" ht="12.75">
      <c r="C530" s="12"/>
      <c r="L530" s="12"/>
    </row>
    <row r="531" spans="3:12" ht="12.75">
      <c r="C531" s="12"/>
      <c r="L531" s="12"/>
    </row>
    <row r="532" spans="3:12" ht="12.75">
      <c r="C532" s="12"/>
      <c r="L532" s="12"/>
    </row>
    <row r="533" spans="3:12" ht="12.75">
      <c r="C533" s="12"/>
      <c r="L533" s="12"/>
    </row>
    <row r="534" spans="3:12" ht="12.75">
      <c r="C534" s="12"/>
      <c r="L534" s="12"/>
    </row>
    <row r="535" spans="3:12" ht="12.75">
      <c r="C535" s="12"/>
      <c r="L535" s="12"/>
    </row>
    <row r="536" spans="3:12" ht="12.75">
      <c r="C536" s="12"/>
      <c r="L536" s="12"/>
    </row>
    <row r="537" spans="3:12" ht="12.75">
      <c r="C537" s="12"/>
      <c r="L537" s="12"/>
    </row>
    <row r="538" spans="3:12" ht="12.75">
      <c r="C538" s="12"/>
      <c r="L538" s="12"/>
    </row>
    <row r="539" spans="3:12" ht="12.75">
      <c r="C539" s="12"/>
      <c r="L539" s="12"/>
    </row>
    <row r="540" spans="3:12" ht="12.75">
      <c r="C540" s="12"/>
      <c r="L540" s="12"/>
    </row>
    <row r="541" spans="3:12" ht="12.75">
      <c r="C541" s="12"/>
      <c r="L541" s="12"/>
    </row>
    <row r="542" spans="3:12" ht="12.75">
      <c r="C542" s="12"/>
      <c r="L542" s="12"/>
    </row>
    <row r="543" spans="3:12" ht="12.75">
      <c r="C543" s="12"/>
      <c r="L543" s="12"/>
    </row>
    <row r="544" spans="3:12" ht="12.75">
      <c r="C544" s="12"/>
      <c r="L544" s="12"/>
    </row>
    <row r="545" spans="3:12" ht="12.75">
      <c r="C545" s="12"/>
      <c r="L545" s="12"/>
    </row>
    <row r="546" spans="3:12" ht="12.75">
      <c r="C546" s="12"/>
      <c r="L546" s="12"/>
    </row>
    <row r="547" spans="3:12" ht="12.75">
      <c r="C547" s="12"/>
      <c r="L547" s="12"/>
    </row>
    <row r="548" spans="3:12" ht="12.75">
      <c r="C548" s="12"/>
      <c r="L548" s="12"/>
    </row>
    <row r="549" spans="3:12" ht="12.75">
      <c r="C549" s="12"/>
      <c r="L549" s="12"/>
    </row>
    <row r="550" spans="3:12" ht="12.75">
      <c r="C550" s="12"/>
      <c r="L550" s="12"/>
    </row>
    <row r="551" spans="3:12" ht="12.75">
      <c r="C551" s="12"/>
      <c r="L551" s="12"/>
    </row>
    <row r="552" spans="3:12" ht="12.75">
      <c r="C552" s="12"/>
      <c r="L552" s="12"/>
    </row>
    <row r="553" spans="3:12" ht="12.75">
      <c r="C553" s="12"/>
      <c r="L553" s="12"/>
    </row>
    <row r="554" spans="3:12" ht="12.75">
      <c r="C554" s="12"/>
      <c r="L554" s="12"/>
    </row>
    <row r="555" spans="3:12" ht="12.75">
      <c r="C555" s="12"/>
      <c r="L555" s="12"/>
    </row>
    <row r="556" spans="3:12" ht="12.75">
      <c r="C556" s="12"/>
      <c r="L556" s="12"/>
    </row>
    <row r="557" spans="3:12" ht="12.75">
      <c r="C557" s="12"/>
      <c r="L557" s="12"/>
    </row>
    <row r="558" spans="3:12" ht="12.75">
      <c r="C558" s="12"/>
      <c r="L558" s="12"/>
    </row>
    <row r="559" spans="3:12" ht="12.75">
      <c r="C559" s="12"/>
      <c r="L559" s="12"/>
    </row>
    <row r="560" spans="3:12" ht="12.75">
      <c r="C560" s="12"/>
      <c r="L560" s="12"/>
    </row>
    <row r="561" spans="3:12" ht="12.75">
      <c r="C561" s="12"/>
      <c r="L561" s="12"/>
    </row>
    <row r="562" spans="3:12" ht="12.75">
      <c r="C562" s="12"/>
      <c r="L562" s="12"/>
    </row>
    <row r="563" spans="3:12" ht="12.75">
      <c r="C563" s="12"/>
      <c r="L563" s="12"/>
    </row>
    <row r="564" spans="3:12" ht="12.75">
      <c r="C564" s="12"/>
      <c r="L564" s="12"/>
    </row>
    <row r="565" spans="3:12" ht="12.75">
      <c r="C565" s="12"/>
      <c r="L565" s="12"/>
    </row>
    <row r="566" spans="3:12" ht="12.75">
      <c r="C566" s="12"/>
      <c r="L566" s="12"/>
    </row>
    <row r="567" spans="3:12" ht="12.75">
      <c r="C567" s="12"/>
      <c r="L567" s="12"/>
    </row>
    <row r="568" spans="3:12" ht="12.75">
      <c r="C568" s="12"/>
      <c r="L568" s="12"/>
    </row>
    <row r="569" spans="3:12" ht="12.75">
      <c r="C569" s="12"/>
      <c r="L569" s="12"/>
    </row>
    <row r="570" spans="3:12" ht="12.75">
      <c r="C570" s="12"/>
      <c r="L570" s="12"/>
    </row>
    <row r="571" spans="3:12" ht="12.75">
      <c r="C571" s="12"/>
      <c r="L571" s="12"/>
    </row>
    <row r="572" spans="3:12" ht="12.75">
      <c r="C572" s="12"/>
      <c r="L572" s="12"/>
    </row>
    <row r="573" spans="3:12" ht="12.75">
      <c r="C573" s="12"/>
      <c r="L573" s="12"/>
    </row>
    <row r="574" spans="3:12" ht="12.75">
      <c r="C574" s="12"/>
      <c r="L574" s="12"/>
    </row>
    <row r="575" spans="3:12" ht="12.75">
      <c r="C575" s="12"/>
      <c r="L575" s="12"/>
    </row>
    <row r="576" spans="3:12" ht="12.75">
      <c r="C576" s="12"/>
      <c r="L576" s="12"/>
    </row>
    <row r="577" spans="3:12" ht="12.75">
      <c r="C577" s="12"/>
      <c r="L577" s="12"/>
    </row>
    <row r="578" spans="3:12" ht="12.75">
      <c r="C578" s="12"/>
      <c r="L578" s="12"/>
    </row>
    <row r="579" spans="3:12" ht="12.75">
      <c r="C579" s="12"/>
      <c r="L579" s="12"/>
    </row>
    <row r="580" spans="3:12" ht="12.75">
      <c r="C580" s="12"/>
      <c r="L580" s="12"/>
    </row>
    <row r="581" spans="3:12" ht="12.75">
      <c r="C581" s="12"/>
      <c r="L581" s="12"/>
    </row>
    <row r="582" spans="3:12" ht="12.75">
      <c r="C582" s="12"/>
      <c r="L582" s="12"/>
    </row>
    <row r="583" spans="3:12" ht="12.75">
      <c r="C583" s="12"/>
      <c r="L583" s="12"/>
    </row>
    <row r="584" spans="3:12" ht="12.75">
      <c r="C584" s="12"/>
      <c r="L584" s="12"/>
    </row>
    <row r="585" spans="3:12" ht="12.75">
      <c r="C585" s="12"/>
      <c r="L585" s="12"/>
    </row>
    <row r="586" spans="3:12" ht="12.75">
      <c r="C586" s="12"/>
      <c r="L586" s="12"/>
    </row>
    <row r="587" spans="3:12" ht="12.75">
      <c r="C587" s="12"/>
      <c r="L587" s="12"/>
    </row>
    <row r="588" spans="3:12" ht="12.75">
      <c r="C588" s="12"/>
      <c r="L588" s="12"/>
    </row>
    <row r="589" spans="3:12" ht="12.75">
      <c r="C589" s="12"/>
      <c r="L589" s="12"/>
    </row>
    <row r="590" spans="3:12" ht="12.75">
      <c r="C590" s="12"/>
      <c r="L590" s="12"/>
    </row>
    <row r="591" spans="3:12" ht="12.75">
      <c r="C591" s="12"/>
      <c r="L591" s="12"/>
    </row>
    <row r="592" spans="3:12" ht="12.75">
      <c r="C592" s="12"/>
      <c r="L592" s="12"/>
    </row>
    <row r="593" spans="3:12" ht="12.75">
      <c r="C593" s="12"/>
      <c r="L593" s="12"/>
    </row>
    <row r="594" spans="3:12" ht="12.75">
      <c r="C594" s="12"/>
      <c r="L594" s="12"/>
    </row>
    <row r="595" spans="3:12" ht="12.75">
      <c r="C595" s="12"/>
      <c r="L595" s="12"/>
    </row>
    <row r="596" spans="3:12" ht="12.75">
      <c r="C596" s="12"/>
      <c r="L596" s="12"/>
    </row>
    <row r="597" spans="3:12" ht="12.75">
      <c r="C597" s="12"/>
      <c r="L597" s="12"/>
    </row>
    <row r="598" spans="3:12" ht="12.75">
      <c r="C598" s="12"/>
      <c r="L598" s="12"/>
    </row>
    <row r="599" spans="3:12" ht="12.75">
      <c r="C599" s="12"/>
      <c r="L599" s="12"/>
    </row>
    <row r="600" spans="3:12" ht="12.75">
      <c r="C600" s="12"/>
      <c r="L600" s="12"/>
    </row>
    <row r="601" spans="3:12" ht="12.75">
      <c r="C601" s="12"/>
      <c r="L601" s="12"/>
    </row>
    <row r="602" spans="3:12" ht="12.75">
      <c r="C602" s="12"/>
      <c r="L602" s="12"/>
    </row>
    <row r="603" spans="3:12" ht="12.75">
      <c r="C603" s="12"/>
      <c r="L603" s="12"/>
    </row>
    <row r="604" spans="3:12" ht="12.75">
      <c r="C604" s="12"/>
      <c r="L604" s="12"/>
    </row>
    <row r="605" spans="3:12" ht="12.75">
      <c r="C605" s="12"/>
      <c r="L605" s="12"/>
    </row>
    <row r="606" spans="3:12" ht="12.75">
      <c r="C606" s="12"/>
      <c r="L606" s="12"/>
    </row>
    <row r="607" spans="3:12" ht="12.75">
      <c r="C607" s="12"/>
      <c r="L607" s="12"/>
    </row>
    <row r="608" spans="3:12" ht="12.75">
      <c r="C608" s="12"/>
      <c r="L608" s="12"/>
    </row>
    <row r="609" spans="3:12" ht="12.75">
      <c r="C609" s="12"/>
      <c r="L609" s="12"/>
    </row>
    <row r="610" spans="3:12" ht="12.75">
      <c r="C610" s="12"/>
      <c r="L610" s="12"/>
    </row>
    <row r="611" spans="3:12" ht="12.75">
      <c r="C611" s="12"/>
      <c r="L611" s="12"/>
    </row>
    <row r="612" spans="3:12" ht="12.75">
      <c r="C612" s="12"/>
      <c r="L612" s="12"/>
    </row>
    <row r="613" spans="3:12" ht="12.75">
      <c r="C613" s="12"/>
      <c r="L613" s="12"/>
    </row>
    <row r="614" spans="3:12" ht="12.75">
      <c r="C614" s="12"/>
      <c r="L614" s="12"/>
    </row>
    <row r="615" spans="3:12" ht="12.75">
      <c r="C615" s="12"/>
      <c r="L615" s="12"/>
    </row>
    <row r="616" spans="3:12" ht="12.75">
      <c r="C616" s="12"/>
      <c r="L616" s="12"/>
    </row>
    <row r="617" spans="3:12" ht="12.75">
      <c r="C617" s="12"/>
      <c r="L617" s="12"/>
    </row>
    <row r="618" spans="3:12" ht="12.75">
      <c r="C618" s="12"/>
      <c r="L618" s="12"/>
    </row>
    <row r="619" spans="3:12" ht="12.75">
      <c r="C619" s="12"/>
      <c r="L619" s="12"/>
    </row>
    <row r="620" spans="3:12" ht="12.75">
      <c r="C620" s="12"/>
      <c r="L620" s="12"/>
    </row>
    <row r="621" spans="3:12" ht="12.75">
      <c r="C621" s="12"/>
      <c r="L621" s="12"/>
    </row>
    <row r="622" spans="3:12" ht="12.75">
      <c r="C622" s="12"/>
      <c r="L622" s="12"/>
    </row>
    <row r="623" spans="3:12" ht="12.75">
      <c r="C623" s="12"/>
      <c r="L623" s="12"/>
    </row>
    <row r="624" spans="3:12" ht="12.75">
      <c r="C624" s="12"/>
      <c r="L624" s="12"/>
    </row>
    <row r="625" spans="3:12" ht="12.75">
      <c r="C625" s="12"/>
      <c r="L625" s="12"/>
    </row>
    <row r="626" spans="3:12" ht="12.75">
      <c r="C626" s="12"/>
      <c r="L626" s="12"/>
    </row>
    <row r="627" spans="3:12" ht="12.75">
      <c r="C627" s="12"/>
      <c r="L627" s="12"/>
    </row>
    <row r="628" spans="3:12" ht="12.75">
      <c r="C628" s="12"/>
      <c r="L628" s="12"/>
    </row>
    <row r="629" spans="3:12" ht="12.75">
      <c r="C629" s="12"/>
      <c r="L629" s="12"/>
    </row>
    <row r="630" spans="3:12" ht="12.75">
      <c r="C630" s="12"/>
      <c r="L630" s="12"/>
    </row>
    <row r="631" spans="3:12" ht="12.75">
      <c r="C631" s="12"/>
      <c r="L631" s="12"/>
    </row>
    <row r="632" spans="3:12" ht="12.75">
      <c r="C632" s="12"/>
      <c r="L632" s="12"/>
    </row>
    <row r="633" spans="3:12" ht="12.75">
      <c r="C633" s="12"/>
      <c r="L633" s="12"/>
    </row>
    <row r="634" spans="3:12" ht="12.75">
      <c r="C634" s="12"/>
      <c r="L634" s="12"/>
    </row>
    <row r="635" spans="3:12" ht="12.75">
      <c r="C635" s="12"/>
      <c r="L635" s="12"/>
    </row>
    <row r="636" spans="3:12" ht="12.75">
      <c r="C636" s="12"/>
      <c r="L636" s="12"/>
    </row>
    <row r="637" spans="3:12" ht="12.75">
      <c r="C637" s="12"/>
      <c r="L637" s="12"/>
    </row>
    <row r="638" spans="3:12" ht="12.75">
      <c r="C638" s="12"/>
      <c r="L638" s="12"/>
    </row>
    <row r="639" spans="3:12" ht="12.75">
      <c r="C639" s="12"/>
      <c r="L639" s="12"/>
    </row>
    <row r="640" spans="3:12" ht="12.75">
      <c r="C640" s="12"/>
      <c r="L640" s="12"/>
    </row>
    <row r="641" spans="3:12" ht="12.75">
      <c r="C641" s="12"/>
      <c r="L641" s="12"/>
    </row>
    <row r="642" spans="3:12" ht="12.75">
      <c r="C642" s="12"/>
      <c r="L642" s="12"/>
    </row>
    <row r="643" spans="3:12" ht="12.75">
      <c r="C643" s="12"/>
      <c r="L643" s="12"/>
    </row>
    <row r="644" spans="3:12" ht="12.75">
      <c r="C644" s="12"/>
      <c r="L644" s="12"/>
    </row>
    <row r="645" spans="3:12" ht="12.75">
      <c r="C645" s="12"/>
      <c r="L645" s="12"/>
    </row>
    <row r="646" spans="3:12" ht="12.75">
      <c r="C646" s="12"/>
      <c r="L646" s="12"/>
    </row>
    <row r="647" spans="3:12" ht="12.75">
      <c r="C647" s="12"/>
      <c r="L647" s="12"/>
    </row>
    <row r="648" spans="3:12" ht="12.75">
      <c r="C648" s="12"/>
      <c r="L648" s="12"/>
    </row>
    <row r="649" spans="3:12" ht="12.75">
      <c r="C649" s="12"/>
      <c r="L649" s="12"/>
    </row>
    <row r="650" spans="3:12" ht="12.75">
      <c r="C650" s="12"/>
      <c r="L650" s="12"/>
    </row>
    <row r="651" spans="3:12" ht="12.75">
      <c r="C651" s="12"/>
      <c r="L651" s="12"/>
    </row>
    <row r="652" spans="3:12" ht="12.75">
      <c r="C652" s="12"/>
      <c r="L652" s="12"/>
    </row>
    <row r="653" spans="3:12" ht="12.75">
      <c r="C653" s="12"/>
      <c r="L653" s="12"/>
    </row>
    <row r="654" spans="3:12" ht="12.75">
      <c r="C654" s="12"/>
      <c r="L654" s="12"/>
    </row>
    <row r="655" spans="3:12" ht="12.75">
      <c r="C655" s="12"/>
      <c r="L655" s="12"/>
    </row>
    <row r="656" spans="3:12" ht="12.75">
      <c r="C656" s="12"/>
      <c r="L656" s="12"/>
    </row>
    <row r="657" spans="3:12" ht="12.75">
      <c r="C657" s="12"/>
      <c r="L657" s="12"/>
    </row>
    <row r="658" spans="3:12" ht="12.75">
      <c r="C658" s="12"/>
      <c r="L658" s="12"/>
    </row>
    <row r="659" spans="3:12" ht="12.75">
      <c r="C659" s="12"/>
      <c r="L659" s="12"/>
    </row>
    <row r="660" spans="3:12" ht="12.75">
      <c r="C660" s="12"/>
      <c r="L660" s="12"/>
    </row>
    <row r="661" spans="3:12" ht="12.75">
      <c r="C661" s="12"/>
      <c r="L661" s="12"/>
    </row>
    <row r="662" spans="3:12" ht="12.75">
      <c r="C662" s="12"/>
      <c r="L662" s="12"/>
    </row>
    <row r="663" spans="3:12" ht="12.75">
      <c r="C663" s="12"/>
      <c r="L663" s="12"/>
    </row>
    <row r="664" spans="3:12" ht="12.75">
      <c r="C664" s="12"/>
      <c r="L664" s="12"/>
    </row>
    <row r="665" spans="3:12" ht="12.75">
      <c r="C665" s="12"/>
      <c r="L665" s="12"/>
    </row>
    <row r="666" spans="3:12" ht="12.75">
      <c r="C666" s="12"/>
      <c r="L666" s="12"/>
    </row>
    <row r="667" spans="3:12" ht="12.75">
      <c r="C667" s="12"/>
      <c r="L667" s="12"/>
    </row>
    <row r="668" spans="3:12" ht="12.75">
      <c r="C668" s="12"/>
      <c r="L668" s="12"/>
    </row>
    <row r="669" spans="3:12" ht="12.75">
      <c r="C669" s="12"/>
      <c r="L669" s="12"/>
    </row>
    <row r="670" spans="3:12" ht="12.75">
      <c r="C670" s="12"/>
      <c r="L670" s="12"/>
    </row>
    <row r="671" spans="3:12" ht="12.75">
      <c r="C671" s="12"/>
      <c r="L671" s="12"/>
    </row>
    <row r="672" spans="3:12" ht="12.75">
      <c r="C672" s="12"/>
      <c r="L672" s="12"/>
    </row>
    <row r="673" spans="3:12" ht="12.75">
      <c r="C673" s="12"/>
      <c r="L673" s="12"/>
    </row>
    <row r="674" spans="3:12" ht="12.75">
      <c r="C674" s="12"/>
      <c r="L674" s="12"/>
    </row>
    <row r="675" spans="3:12" ht="12.75">
      <c r="C675" s="12"/>
      <c r="L675" s="12"/>
    </row>
    <row r="676" spans="3:12" ht="12.75">
      <c r="C676" s="12"/>
      <c r="L676" s="12"/>
    </row>
    <row r="677" spans="3:12" ht="12.75">
      <c r="C677" s="12"/>
      <c r="L677" s="12"/>
    </row>
    <row r="678" spans="3:12" ht="12.75">
      <c r="C678" s="12"/>
      <c r="L678" s="12"/>
    </row>
    <row r="679" spans="3:12" ht="12.75">
      <c r="C679" s="12"/>
      <c r="L679" s="12"/>
    </row>
    <row r="680" spans="3:12" ht="12.75">
      <c r="C680" s="12"/>
      <c r="L680" s="12"/>
    </row>
    <row r="681" spans="3:12" ht="12.75">
      <c r="C681" s="12"/>
      <c r="L681" s="12"/>
    </row>
    <row r="682" spans="3:12" ht="12.75">
      <c r="C682" s="12"/>
      <c r="L682" s="12"/>
    </row>
    <row r="683" spans="3:12" ht="12.75">
      <c r="C683" s="12"/>
      <c r="L683" s="12"/>
    </row>
    <row r="684" spans="3:12" ht="12.75">
      <c r="C684" s="12"/>
      <c r="L684" s="12"/>
    </row>
    <row r="685" spans="3:12" ht="12.75">
      <c r="C685" s="12"/>
      <c r="L685" s="12"/>
    </row>
    <row r="686" spans="3:12" ht="12.75">
      <c r="C686" s="12"/>
      <c r="L686" s="12"/>
    </row>
    <row r="687" spans="3:12" ht="12.75">
      <c r="C687" s="12"/>
      <c r="L687" s="12"/>
    </row>
    <row r="688" spans="3:12" ht="12.75">
      <c r="C688" s="12"/>
      <c r="L688" s="12"/>
    </row>
    <row r="689" spans="3:12" ht="12.75">
      <c r="C689" s="12"/>
      <c r="L689" s="12"/>
    </row>
    <row r="690" spans="3:12" ht="12.75">
      <c r="C690" s="12"/>
      <c r="L690" s="12"/>
    </row>
    <row r="691" spans="3:12" ht="12.75">
      <c r="C691" s="12"/>
      <c r="L691" s="12"/>
    </row>
    <row r="692" spans="3:12" ht="12.75">
      <c r="C692" s="12"/>
      <c r="L692" s="12"/>
    </row>
    <row r="693" spans="3:12" ht="12.75">
      <c r="C693" s="12"/>
      <c r="L693" s="12"/>
    </row>
    <row r="694" spans="3:12" ht="12.75">
      <c r="C694" s="12"/>
      <c r="L694" s="12"/>
    </row>
    <row r="695" spans="3:12" ht="12.75">
      <c r="C695" s="12"/>
      <c r="L695" s="12"/>
    </row>
    <row r="696" spans="3:12" ht="12.75">
      <c r="C696" s="12"/>
      <c r="L696" s="12"/>
    </row>
    <row r="697" spans="3:12" ht="12.75">
      <c r="C697" s="12"/>
      <c r="L697" s="12"/>
    </row>
    <row r="698" spans="3:12" ht="12.75">
      <c r="C698" s="12"/>
      <c r="L698" s="12"/>
    </row>
    <row r="699" spans="3:12" ht="12.75">
      <c r="C699" s="12"/>
      <c r="L699" s="12"/>
    </row>
    <row r="700" spans="3:12" ht="12.75">
      <c r="C700" s="12"/>
      <c r="L700" s="12"/>
    </row>
    <row r="701" spans="3:12" ht="12.75">
      <c r="C701" s="12"/>
      <c r="L701" s="12"/>
    </row>
    <row r="702" spans="3:12" ht="12.75">
      <c r="C702" s="12"/>
      <c r="L702" s="12"/>
    </row>
    <row r="703" spans="3:12" ht="12.75">
      <c r="C703" s="12"/>
      <c r="L703" s="12"/>
    </row>
    <row r="704" spans="3:12" ht="12.75">
      <c r="C704" s="12"/>
      <c r="L704" s="12"/>
    </row>
    <row r="705" spans="3:12" ht="12.75">
      <c r="C705" s="12"/>
      <c r="L705" s="12"/>
    </row>
    <row r="706" spans="3:12" ht="12.75">
      <c r="C706" s="12"/>
      <c r="L706" s="12"/>
    </row>
    <row r="707" spans="3:12" ht="12.75">
      <c r="C707" s="12"/>
      <c r="L707" s="12"/>
    </row>
    <row r="708" spans="3:12" ht="12.75">
      <c r="C708" s="12"/>
      <c r="L708" s="12"/>
    </row>
    <row r="709" spans="3:12" ht="12.75">
      <c r="C709" s="12"/>
      <c r="L709" s="12"/>
    </row>
    <row r="710" spans="3:12" ht="12.75">
      <c r="C710" s="12"/>
      <c r="L710" s="12"/>
    </row>
    <row r="711" spans="3:12" ht="12.75">
      <c r="C711" s="12"/>
      <c r="L711" s="12"/>
    </row>
    <row r="712" spans="3:12" ht="12.75">
      <c r="C712" s="12"/>
      <c r="L712" s="12"/>
    </row>
    <row r="713" spans="3:12" ht="12.75">
      <c r="C713" s="12"/>
      <c r="L713" s="12"/>
    </row>
    <row r="714" spans="3:12" ht="12.75">
      <c r="C714" s="12"/>
      <c r="L714" s="12"/>
    </row>
    <row r="715" spans="3:12" ht="12.75">
      <c r="C715" s="12"/>
      <c r="L715" s="12"/>
    </row>
    <row r="716" spans="3:12" ht="12.75">
      <c r="C716" s="12"/>
      <c r="L716" s="12"/>
    </row>
    <row r="717" spans="3:12" ht="12.75">
      <c r="C717" s="12"/>
      <c r="L717" s="12"/>
    </row>
    <row r="718" spans="3:12" ht="12.75">
      <c r="C718" s="12"/>
      <c r="L718" s="12"/>
    </row>
    <row r="719" spans="3:12" ht="12.75">
      <c r="C719" s="12"/>
      <c r="L719" s="12"/>
    </row>
    <row r="720" spans="3:12" ht="12.75">
      <c r="C720" s="12"/>
      <c r="L720" s="12"/>
    </row>
    <row r="721" spans="3:12" ht="12.75">
      <c r="C721" s="12"/>
      <c r="L721" s="12"/>
    </row>
    <row r="722" spans="3:12" ht="12.75">
      <c r="C722" s="12"/>
      <c r="L722" s="12"/>
    </row>
    <row r="723" spans="3:12" ht="12.75">
      <c r="C723" s="12"/>
      <c r="L723" s="12"/>
    </row>
    <row r="724" spans="3:12" ht="12.75">
      <c r="C724" s="12"/>
      <c r="L724" s="12"/>
    </row>
    <row r="725" spans="3:12" ht="12.75">
      <c r="C725" s="12"/>
      <c r="L725" s="12"/>
    </row>
    <row r="726" spans="3:12" ht="12.75">
      <c r="C726" s="12"/>
      <c r="L726" s="12"/>
    </row>
    <row r="727" spans="3:12" ht="12.75">
      <c r="C727" s="12"/>
      <c r="L727" s="12"/>
    </row>
    <row r="728" spans="3:12" ht="12.75">
      <c r="C728" s="12"/>
      <c r="L728" s="12"/>
    </row>
    <row r="729" spans="3:12" ht="12.75">
      <c r="C729" s="12"/>
      <c r="L729" s="12"/>
    </row>
    <row r="730" spans="3:12" ht="12.75">
      <c r="C730" s="12"/>
      <c r="L730" s="12"/>
    </row>
    <row r="731" spans="3:12" ht="12.75">
      <c r="C731" s="12"/>
      <c r="L731" s="12"/>
    </row>
    <row r="732" spans="3:12" ht="12.75">
      <c r="C732" s="12"/>
      <c r="L732" s="12"/>
    </row>
    <row r="733" spans="3:12" ht="12.75">
      <c r="C733" s="12"/>
      <c r="L733" s="12"/>
    </row>
    <row r="734" spans="3:12" ht="12.75">
      <c r="C734" s="12"/>
      <c r="L734" s="12"/>
    </row>
    <row r="735" spans="3:12" ht="12.75">
      <c r="C735" s="12"/>
      <c r="L735" s="12"/>
    </row>
    <row r="736" spans="3:12" ht="12.75">
      <c r="C736" s="12"/>
      <c r="L736" s="12"/>
    </row>
    <row r="737" spans="3:12" ht="12.75">
      <c r="C737" s="12"/>
      <c r="L737" s="12"/>
    </row>
    <row r="738" spans="3:12" ht="12.75">
      <c r="C738" s="12"/>
      <c r="L738" s="12"/>
    </row>
    <row r="739" spans="3:12" ht="12.75">
      <c r="C739" s="12"/>
      <c r="L739" s="12"/>
    </row>
    <row r="740" spans="3:12" ht="12.75">
      <c r="C740" s="12"/>
      <c r="L740" s="12"/>
    </row>
    <row r="741" spans="3:12" ht="12.75">
      <c r="C741" s="12"/>
      <c r="L741" s="12"/>
    </row>
    <row r="742" spans="3:12" ht="12.75">
      <c r="C742" s="12"/>
      <c r="L742" s="12"/>
    </row>
    <row r="743" spans="3:12" ht="12.75">
      <c r="C743" s="12"/>
      <c r="L743" s="12"/>
    </row>
    <row r="744" spans="3:12" ht="12.75">
      <c r="C744" s="12"/>
      <c r="L744" s="12"/>
    </row>
    <row r="745" spans="3:12" ht="12.75">
      <c r="C745" s="12"/>
      <c r="L745" s="12"/>
    </row>
    <row r="746" spans="3:12" ht="12.75">
      <c r="C746" s="12"/>
      <c r="L746" s="12"/>
    </row>
    <row r="747" spans="3:12" ht="12.75">
      <c r="C747" s="12"/>
      <c r="L747" s="12"/>
    </row>
    <row r="748" spans="3:12" ht="12.75">
      <c r="C748" s="12"/>
      <c r="L748" s="12"/>
    </row>
    <row r="749" spans="3:12" ht="12.75">
      <c r="C749" s="12"/>
      <c r="L749" s="12"/>
    </row>
    <row r="750" spans="3:12" ht="12.75">
      <c r="C750" s="12"/>
      <c r="L750" s="12"/>
    </row>
    <row r="751" spans="3:12" ht="12.75">
      <c r="C751" s="12"/>
      <c r="L751" s="12"/>
    </row>
    <row r="752" spans="3:12" ht="12.75">
      <c r="C752" s="12"/>
      <c r="L752" s="12"/>
    </row>
    <row r="753" spans="3:12" ht="12.75">
      <c r="C753" s="12"/>
      <c r="L753" s="12"/>
    </row>
    <row r="754" spans="3:12" ht="12.75">
      <c r="C754" s="12"/>
      <c r="L754" s="12"/>
    </row>
    <row r="755" spans="3:12" ht="12.75">
      <c r="C755" s="12"/>
      <c r="L755" s="12"/>
    </row>
    <row r="756" spans="3:12" ht="12.75">
      <c r="C756" s="12"/>
      <c r="L756" s="12"/>
    </row>
    <row r="757" spans="3:12" ht="12.75">
      <c r="C757" s="12"/>
      <c r="L757" s="12"/>
    </row>
    <row r="758" spans="3:12" ht="12.75">
      <c r="C758" s="12"/>
      <c r="L758" s="12"/>
    </row>
    <row r="759" spans="3:12" ht="12.75">
      <c r="C759" s="12"/>
      <c r="L759" s="12"/>
    </row>
    <row r="760" spans="3:12" ht="12.75">
      <c r="C760" s="12"/>
      <c r="L760" s="12"/>
    </row>
    <row r="761" spans="3:12" ht="12.75">
      <c r="C761" s="12"/>
      <c r="L761" s="12"/>
    </row>
    <row r="762" spans="3:12" ht="12.75">
      <c r="C762" s="12"/>
      <c r="L762" s="12"/>
    </row>
    <row r="763" spans="3:12" ht="12.75">
      <c r="C763" s="12"/>
      <c r="L763" s="12"/>
    </row>
    <row r="764" spans="3:12" ht="12.75">
      <c r="C764" s="12"/>
      <c r="L764" s="12"/>
    </row>
    <row r="765" spans="3:12" ht="12.75">
      <c r="C765" s="12"/>
      <c r="L765" s="12"/>
    </row>
    <row r="766" spans="3:12" ht="12.75">
      <c r="C766" s="12"/>
      <c r="L766" s="12"/>
    </row>
    <row r="767" spans="3:12" ht="12.75">
      <c r="C767" s="12"/>
      <c r="L767" s="12"/>
    </row>
    <row r="768" spans="3:12" ht="12.75">
      <c r="C768" s="12"/>
      <c r="L768" s="12"/>
    </row>
    <row r="769" spans="3:12" ht="12.75">
      <c r="C769" s="12"/>
      <c r="L769" s="12"/>
    </row>
    <row r="770" spans="3:12" ht="12.75">
      <c r="C770" s="12"/>
      <c r="L770" s="12"/>
    </row>
    <row r="771" spans="3:12" ht="12.75">
      <c r="C771" s="12"/>
      <c r="L771" s="12"/>
    </row>
    <row r="772" spans="3:12" ht="12.75">
      <c r="C772" s="12"/>
      <c r="L772" s="12"/>
    </row>
    <row r="773" spans="3:12" ht="12.75">
      <c r="C773" s="12"/>
      <c r="L773" s="12"/>
    </row>
    <row r="774" spans="3:12" ht="12.75">
      <c r="C774" s="12"/>
      <c r="L774" s="12"/>
    </row>
    <row r="775" spans="3:12" ht="12.75">
      <c r="C775" s="12"/>
      <c r="L775" s="12"/>
    </row>
    <row r="776" spans="3:12" ht="12.75">
      <c r="C776" s="12"/>
      <c r="L776" s="12"/>
    </row>
    <row r="777" spans="3:12" ht="12.75">
      <c r="C777" s="12"/>
      <c r="L777" s="12"/>
    </row>
    <row r="778" spans="3:12" ht="12.75">
      <c r="C778" s="12"/>
      <c r="L778" s="12"/>
    </row>
    <row r="779" spans="3:12" ht="12.75">
      <c r="C779" s="12"/>
      <c r="L779" s="12"/>
    </row>
    <row r="780" spans="3:12" ht="12.75">
      <c r="C780" s="12"/>
      <c r="L780" s="12"/>
    </row>
    <row r="781" spans="3:12" ht="12.75">
      <c r="C781" s="12"/>
      <c r="L781" s="12"/>
    </row>
    <row r="782" spans="3:12" ht="12.75">
      <c r="C782" s="12"/>
      <c r="L782" s="12"/>
    </row>
    <row r="783" spans="3:12" ht="12.75">
      <c r="C783" s="12"/>
      <c r="L783" s="12"/>
    </row>
    <row r="784" spans="3:12" ht="12.75">
      <c r="C784" s="12"/>
      <c r="L784" s="12"/>
    </row>
    <row r="785" spans="3:12" ht="12.75">
      <c r="C785" s="12"/>
      <c r="L785" s="12"/>
    </row>
    <row r="786" spans="3:12" ht="12.75">
      <c r="C786" s="12"/>
      <c r="L786" s="12"/>
    </row>
    <row r="787" spans="3:12" ht="12.75">
      <c r="C787" s="12"/>
      <c r="L787" s="12"/>
    </row>
    <row r="788" spans="3:12" ht="12.75">
      <c r="C788" s="12"/>
      <c r="L788" s="12"/>
    </row>
    <row r="789" spans="3:12" ht="12.75">
      <c r="C789" s="12"/>
      <c r="L789" s="12"/>
    </row>
    <row r="790" spans="3:12" ht="12.75">
      <c r="C790" s="12"/>
      <c r="L790" s="12"/>
    </row>
    <row r="791" spans="3:12" ht="12.75">
      <c r="C791" s="12"/>
      <c r="L791" s="12"/>
    </row>
    <row r="792" spans="3:12" ht="12.75">
      <c r="C792" s="12"/>
      <c r="L792" s="12"/>
    </row>
    <row r="793" spans="3:12" ht="12.75">
      <c r="C793" s="12"/>
      <c r="L793" s="12"/>
    </row>
    <row r="794" spans="3:12" ht="12.75">
      <c r="C794" s="12"/>
      <c r="L794" s="12"/>
    </row>
    <row r="795" spans="3:12" ht="12.75">
      <c r="C795" s="12"/>
      <c r="L795" s="12"/>
    </row>
    <row r="796" spans="3:12" ht="12.75">
      <c r="C796" s="12"/>
      <c r="L796" s="12"/>
    </row>
    <row r="797" spans="3:12" ht="12.75">
      <c r="C797" s="12"/>
      <c r="L797" s="12"/>
    </row>
    <row r="798" spans="3:12" ht="12.75">
      <c r="C798" s="12"/>
      <c r="L798" s="12"/>
    </row>
    <row r="799" spans="3:12" ht="12.75">
      <c r="C799" s="12"/>
      <c r="L799" s="12"/>
    </row>
    <row r="800" spans="3:12" ht="12.75">
      <c r="C800" s="12"/>
      <c r="L800" s="12"/>
    </row>
    <row r="801" spans="3:12" ht="12.75">
      <c r="C801" s="12"/>
      <c r="L801" s="12"/>
    </row>
    <row r="802" spans="3:12" ht="12.75">
      <c r="C802" s="12"/>
      <c r="L802" s="12"/>
    </row>
    <row r="803" spans="3:12" ht="12.75">
      <c r="C803" s="12"/>
      <c r="L803" s="12"/>
    </row>
    <row r="804" spans="3:12" ht="12.75">
      <c r="C804" s="12"/>
      <c r="L804" s="12"/>
    </row>
    <row r="805" spans="3:12" ht="12.75">
      <c r="C805" s="12"/>
      <c r="L805" s="12"/>
    </row>
    <row r="806" spans="3:12" ht="12.75">
      <c r="C806" s="12"/>
      <c r="L806" s="12"/>
    </row>
    <row r="807" spans="3:12" ht="12.75">
      <c r="C807" s="12"/>
      <c r="L807" s="12"/>
    </row>
    <row r="808" spans="3:12" ht="12.75">
      <c r="C808" s="12"/>
      <c r="L808" s="12"/>
    </row>
    <row r="809" spans="3:12" ht="12.75">
      <c r="C809" s="12"/>
      <c r="L809" s="12"/>
    </row>
    <row r="810" spans="3:12" ht="12.75">
      <c r="C810" s="12"/>
      <c r="L810" s="12"/>
    </row>
    <row r="811" spans="3:12" ht="12.75">
      <c r="C811" s="12"/>
      <c r="L811" s="12"/>
    </row>
    <row r="812" spans="3:12" ht="12.75">
      <c r="C812" s="12"/>
      <c r="L812" s="12"/>
    </row>
    <row r="813" spans="3:12" ht="12.75">
      <c r="C813" s="12"/>
      <c r="L813" s="12"/>
    </row>
    <row r="814" spans="3:12" ht="12.75">
      <c r="C814" s="12"/>
      <c r="L814" s="12"/>
    </row>
    <row r="815" spans="3:12" ht="12.75">
      <c r="C815" s="12"/>
      <c r="L815" s="12"/>
    </row>
    <row r="816" spans="3:12" ht="12.75">
      <c r="C816" s="12"/>
      <c r="L816" s="12"/>
    </row>
    <row r="817" spans="3:12" ht="12.75">
      <c r="C817" s="12"/>
      <c r="L817" s="12"/>
    </row>
    <row r="818" spans="3:12" ht="12.75">
      <c r="C818" s="12"/>
      <c r="L818" s="12"/>
    </row>
    <row r="819" spans="3:12" ht="12.75">
      <c r="C819" s="12"/>
      <c r="L819" s="12"/>
    </row>
    <row r="820" spans="3:12" ht="12.75">
      <c r="C820" s="12"/>
      <c r="L820" s="12"/>
    </row>
    <row r="821" spans="3:12" ht="12.75">
      <c r="C821" s="12"/>
      <c r="L821" s="12"/>
    </row>
    <row r="822" spans="3:12" ht="12.75">
      <c r="C822" s="12"/>
      <c r="L822" s="12"/>
    </row>
    <row r="823" spans="3:12" ht="12.75">
      <c r="C823" s="12"/>
      <c r="L823" s="12"/>
    </row>
    <row r="824" spans="3:12" ht="12.75">
      <c r="C824" s="12"/>
      <c r="L824" s="12"/>
    </row>
    <row r="825" spans="3:12" ht="12.75">
      <c r="C825" s="12"/>
      <c r="L825" s="12"/>
    </row>
    <row r="826" spans="3:12" ht="12.75">
      <c r="C826" s="12"/>
      <c r="L826" s="12"/>
    </row>
    <row r="827" spans="3:12" ht="12.75">
      <c r="C827" s="12"/>
      <c r="L827" s="12"/>
    </row>
    <row r="828" spans="3:12" ht="12.75">
      <c r="C828" s="12"/>
      <c r="L828" s="12"/>
    </row>
    <row r="829" spans="3:12" ht="12.75">
      <c r="C829" s="12"/>
      <c r="L829" s="12"/>
    </row>
    <row r="830" spans="3:12" ht="12.75">
      <c r="C830" s="12"/>
      <c r="L830" s="12"/>
    </row>
    <row r="831" spans="3:12" ht="12.75">
      <c r="C831" s="12"/>
      <c r="L831" s="12"/>
    </row>
    <row r="832" spans="3:12" ht="12.75">
      <c r="C832" s="12"/>
      <c r="L832" s="12"/>
    </row>
    <row r="833" spans="3:12" ht="12.75">
      <c r="C833" s="12"/>
      <c r="L833" s="12"/>
    </row>
    <row r="834" spans="3:12" ht="12.75">
      <c r="C834" s="12"/>
      <c r="L834" s="12"/>
    </row>
    <row r="835" spans="3:12" ht="12.75">
      <c r="C835" s="12"/>
      <c r="L835" s="12"/>
    </row>
    <row r="836" spans="3:12" ht="12.75">
      <c r="C836" s="12"/>
      <c r="L836" s="12"/>
    </row>
    <row r="837" spans="3:12" ht="12.75">
      <c r="C837" s="12"/>
      <c r="L837" s="12"/>
    </row>
    <row r="838" spans="3:12" ht="12.75">
      <c r="C838" s="12"/>
      <c r="L838" s="12"/>
    </row>
    <row r="839" spans="3:12" ht="12.75">
      <c r="C839" s="12"/>
      <c r="L839" s="12"/>
    </row>
    <row r="840" spans="3:12" ht="12.75">
      <c r="C840" s="12"/>
      <c r="L840" s="12"/>
    </row>
    <row r="841" spans="3:12" ht="12.75">
      <c r="C841" s="12"/>
      <c r="L841" s="12"/>
    </row>
    <row r="842" spans="3:12" ht="12.75">
      <c r="C842" s="12"/>
      <c r="L842" s="12"/>
    </row>
    <row r="843" spans="3:12" ht="12.75">
      <c r="C843" s="12"/>
      <c r="L843" s="12"/>
    </row>
    <row r="844" spans="3:12" ht="12.75">
      <c r="C844" s="12"/>
      <c r="L844" s="12"/>
    </row>
    <row r="845" spans="3:12" ht="12.75">
      <c r="C845" s="12"/>
      <c r="L845" s="12"/>
    </row>
    <row r="846" spans="3:12" ht="12.75">
      <c r="C846" s="12"/>
      <c r="L846" s="12"/>
    </row>
    <row r="847" spans="3:12" ht="12.75">
      <c r="C847" s="12"/>
      <c r="L847" s="12"/>
    </row>
    <row r="848" spans="3:12" ht="12.75">
      <c r="C848" s="12"/>
      <c r="L848" s="12"/>
    </row>
    <row r="849" spans="3:12" ht="12.75">
      <c r="C849" s="12"/>
      <c r="L849" s="12"/>
    </row>
    <row r="850" spans="3:12" ht="12.75">
      <c r="C850" s="12"/>
      <c r="L850" s="12"/>
    </row>
    <row r="851" spans="3:12" ht="12.75">
      <c r="C851" s="12"/>
      <c r="L851" s="12"/>
    </row>
    <row r="852" spans="3:12" ht="12.75">
      <c r="C852" s="12"/>
      <c r="L852" s="12"/>
    </row>
    <row r="853" spans="3:12" ht="12.75">
      <c r="C853" s="12"/>
      <c r="L853" s="12"/>
    </row>
    <row r="854" spans="3:12" ht="12.75">
      <c r="C854" s="12"/>
      <c r="L854" s="12"/>
    </row>
    <row r="855" spans="3:12" ht="12.75">
      <c r="C855" s="12"/>
      <c r="L855" s="12"/>
    </row>
    <row r="856" spans="3:12" ht="12.75">
      <c r="C856" s="12"/>
      <c r="L856" s="12"/>
    </row>
    <row r="857" spans="3:12" ht="12.75">
      <c r="C857" s="12"/>
      <c r="L857" s="12"/>
    </row>
    <row r="858" spans="3:12" ht="12.75">
      <c r="C858" s="12"/>
      <c r="L858" s="12"/>
    </row>
    <row r="859" spans="3:12" ht="12.75">
      <c r="C859" s="12"/>
      <c r="L859" s="12"/>
    </row>
    <row r="860" spans="3:12" ht="12.75">
      <c r="C860" s="12"/>
      <c r="L860" s="12"/>
    </row>
    <row r="861" spans="3:12" ht="12.75">
      <c r="C861" s="12"/>
      <c r="L861" s="12"/>
    </row>
    <row r="862" spans="3:12" ht="12.75">
      <c r="C862" s="12"/>
      <c r="L862" s="12"/>
    </row>
    <row r="863" spans="3:12" ht="12.75">
      <c r="C863" s="12"/>
      <c r="L863" s="12"/>
    </row>
    <row r="864" spans="3:12" ht="12.75">
      <c r="C864" s="12"/>
      <c r="L864" s="12"/>
    </row>
    <row r="865" spans="3:12" ht="12.75">
      <c r="C865" s="12"/>
      <c r="L865" s="12"/>
    </row>
    <row r="866" spans="3:12" ht="12.75">
      <c r="C866" s="12"/>
      <c r="L866" s="12"/>
    </row>
    <row r="867" spans="3:12" ht="12.75">
      <c r="C867" s="12"/>
      <c r="L867" s="12"/>
    </row>
    <row r="868" spans="3:12" ht="12.75">
      <c r="C868" s="12"/>
      <c r="L868" s="12"/>
    </row>
    <row r="869" spans="3:12" ht="12.75">
      <c r="C869" s="12"/>
      <c r="L869" s="12"/>
    </row>
    <row r="870" spans="3:12" ht="12.75">
      <c r="C870" s="12"/>
      <c r="L870" s="12"/>
    </row>
    <row r="871" spans="3:12" ht="12.75">
      <c r="C871" s="12"/>
      <c r="L871" s="12"/>
    </row>
    <row r="872" spans="3:12" ht="12.75">
      <c r="C872" s="12"/>
      <c r="L872" s="12"/>
    </row>
    <row r="873" spans="3:12" ht="12.75">
      <c r="C873" s="12"/>
      <c r="L873" s="12"/>
    </row>
    <row r="874" spans="3:12" ht="12.75">
      <c r="C874" s="12"/>
      <c r="L874" s="12"/>
    </row>
    <row r="875" spans="3:12" ht="12.75">
      <c r="C875" s="12"/>
      <c r="L875" s="12"/>
    </row>
    <row r="876" spans="3:12" ht="12.75">
      <c r="C876" s="12"/>
      <c r="L876" s="12"/>
    </row>
    <row r="877" spans="3:12" ht="12.75">
      <c r="C877" s="12"/>
      <c r="L877" s="12"/>
    </row>
    <row r="878" spans="3:12" ht="12.75">
      <c r="C878" s="12"/>
      <c r="L878" s="12"/>
    </row>
    <row r="879" spans="3:12" ht="12.75">
      <c r="C879" s="12"/>
      <c r="L879" s="12"/>
    </row>
    <row r="880" spans="3:12" ht="12.75">
      <c r="C880" s="12"/>
      <c r="L880" s="12"/>
    </row>
    <row r="881" spans="3:12" ht="12.75">
      <c r="C881" s="12"/>
      <c r="L881" s="12"/>
    </row>
    <row r="882" spans="3:12" ht="12.75">
      <c r="C882" s="12"/>
      <c r="L882" s="12"/>
    </row>
    <row r="883" spans="3:12" ht="12.75">
      <c r="C883" s="12"/>
      <c r="L883" s="12"/>
    </row>
    <row r="884" spans="3:12" ht="12.75">
      <c r="C884" s="12"/>
      <c r="L884" s="12"/>
    </row>
    <row r="885" spans="3:12" ht="12.75">
      <c r="C885" s="12"/>
      <c r="L885" s="12"/>
    </row>
    <row r="886" spans="3:12" ht="12.75">
      <c r="C886" s="12"/>
      <c r="L886" s="12"/>
    </row>
    <row r="887" spans="3:12" ht="12.75">
      <c r="C887" s="12"/>
      <c r="L887" s="12"/>
    </row>
    <row r="888" spans="3:12" ht="12.75">
      <c r="C888" s="12"/>
      <c r="L888" s="12"/>
    </row>
    <row r="889" spans="3:12" ht="12.75">
      <c r="C889" s="12"/>
      <c r="L889" s="12"/>
    </row>
    <row r="890" spans="3:12" ht="12.75">
      <c r="C890" s="12"/>
      <c r="L890" s="12"/>
    </row>
    <row r="891" spans="3:12" ht="12.75">
      <c r="C891" s="12"/>
      <c r="L891" s="12"/>
    </row>
    <row r="892" spans="3:12" ht="12.75">
      <c r="C892" s="12"/>
      <c r="L892" s="12"/>
    </row>
    <row r="893" spans="3:12" ht="12.75">
      <c r="C893" s="12"/>
      <c r="L893" s="12"/>
    </row>
    <row r="894" spans="3:12" ht="12.75">
      <c r="C894" s="12"/>
      <c r="L894" s="12"/>
    </row>
    <row r="895" spans="3:12" ht="12.75">
      <c r="C895" s="12"/>
      <c r="L895" s="12"/>
    </row>
    <row r="896" spans="3:12" ht="12.75">
      <c r="C896" s="12"/>
      <c r="L896" s="12"/>
    </row>
    <row r="897" spans="3:12" ht="12.75">
      <c r="C897" s="12"/>
      <c r="L897" s="12"/>
    </row>
    <row r="898" spans="3:12" ht="12.75">
      <c r="C898" s="12"/>
      <c r="L898" s="12"/>
    </row>
    <row r="899" spans="3:12" ht="12.75">
      <c r="C899" s="12"/>
      <c r="L899" s="12"/>
    </row>
    <row r="900" spans="3:12" ht="12.75">
      <c r="C900" s="12"/>
      <c r="L900" s="12"/>
    </row>
    <row r="901" spans="3:12" ht="12.75">
      <c r="C901" s="12"/>
      <c r="L901" s="12"/>
    </row>
    <row r="902" spans="3:12" ht="12.75">
      <c r="C902" s="12"/>
      <c r="L902" s="12"/>
    </row>
    <row r="903" spans="3:12" ht="12.75">
      <c r="C903" s="12"/>
      <c r="L903" s="12"/>
    </row>
    <row r="904" spans="3:12" ht="12.75">
      <c r="C904" s="12"/>
      <c r="L904" s="12"/>
    </row>
    <row r="905" spans="3:12" ht="12.75">
      <c r="C905" s="12"/>
      <c r="L905" s="12"/>
    </row>
    <row r="906" spans="3:12" ht="12.75">
      <c r="C906" s="12"/>
      <c r="L906" s="12"/>
    </row>
    <row r="907" spans="3:12" ht="12.75">
      <c r="C907" s="12"/>
      <c r="L907" s="12"/>
    </row>
    <row r="908" spans="3:12" ht="12.75">
      <c r="C908" s="12"/>
      <c r="L908" s="12"/>
    </row>
    <row r="909" spans="3:12" ht="12.75">
      <c r="C909" s="12"/>
      <c r="L909" s="12"/>
    </row>
    <row r="910" spans="3:12" ht="12.75">
      <c r="C910" s="12"/>
      <c r="L910" s="12"/>
    </row>
    <row r="911" spans="3:12" ht="12.75">
      <c r="C911" s="12"/>
      <c r="L911" s="12"/>
    </row>
    <row r="912" spans="3:12" ht="12.75">
      <c r="C912" s="12"/>
      <c r="L912" s="12"/>
    </row>
    <row r="913" spans="3:12" ht="12.75">
      <c r="C913" s="12"/>
      <c r="L913" s="12"/>
    </row>
    <row r="914" spans="3:12" ht="12.75">
      <c r="C914" s="12"/>
      <c r="L914" s="12"/>
    </row>
    <row r="915" spans="3:12" ht="12.75">
      <c r="C915" s="12"/>
      <c r="L915" s="12"/>
    </row>
    <row r="916" spans="3:12" ht="12.75">
      <c r="C916" s="12"/>
      <c r="L916" s="12"/>
    </row>
    <row r="917" spans="3:12" ht="12.75">
      <c r="C917" s="12"/>
      <c r="L917" s="12"/>
    </row>
    <row r="918" spans="3:12" ht="12.75">
      <c r="C918" s="12"/>
      <c r="L918" s="12"/>
    </row>
    <row r="919" spans="3:12" ht="12.75">
      <c r="C919" s="12"/>
      <c r="L919" s="12"/>
    </row>
    <row r="920" spans="3:12" ht="12.75">
      <c r="C920" s="12"/>
      <c r="L920" s="12"/>
    </row>
    <row r="921" spans="3:12" ht="12.75">
      <c r="C921" s="12"/>
      <c r="L921" s="12"/>
    </row>
    <row r="922" spans="3:12" ht="12.75">
      <c r="C922" s="12"/>
      <c r="L922" s="12"/>
    </row>
    <row r="923" spans="3:12" ht="12.75">
      <c r="C923" s="12"/>
      <c r="L923" s="12"/>
    </row>
    <row r="924" spans="3:12" ht="12.75">
      <c r="C924" s="12"/>
      <c r="L924" s="12"/>
    </row>
    <row r="925" spans="3:12" ht="12.75">
      <c r="C925" s="12"/>
      <c r="L925" s="12"/>
    </row>
    <row r="926" spans="3:12" ht="12.75">
      <c r="C926" s="12"/>
      <c r="L926" s="12"/>
    </row>
    <row r="927" spans="3:12" ht="12.75">
      <c r="C927" s="12"/>
      <c r="L927" s="12"/>
    </row>
    <row r="928" spans="3:12" ht="12.75">
      <c r="C928" s="12"/>
      <c r="L928" s="12"/>
    </row>
    <row r="929" spans="3:12" ht="12.75">
      <c r="C929" s="12"/>
      <c r="L929" s="12"/>
    </row>
    <row r="930" spans="3:12" ht="12.75">
      <c r="C930" s="12"/>
      <c r="L930" s="12"/>
    </row>
    <row r="931" spans="3:12" ht="12.75">
      <c r="C931" s="12"/>
      <c r="L931" s="12"/>
    </row>
    <row r="932" spans="3:12" ht="12.75">
      <c r="C932" s="12"/>
      <c r="L932" s="12"/>
    </row>
    <row r="933" spans="3:12" ht="12.75">
      <c r="C933" s="12"/>
      <c r="L933" s="12"/>
    </row>
    <row r="934" spans="3:12" ht="12.75">
      <c r="C934" s="12"/>
      <c r="L934" s="12"/>
    </row>
    <row r="935" spans="3:12" ht="12.75">
      <c r="C935" s="12"/>
      <c r="L935" s="12"/>
    </row>
    <row r="936" spans="3:12" ht="12.75">
      <c r="C936" s="12"/>
      <c r="L936" s="12"/>
    </row>
    <row r="937" spans="3:12" ht="12.75">
      <c r="C937" s="12"/>
      <c r="L937" s="12"/>
    </row>
    <row r="938" spans="3:12" ht="12.75">
      <c r="C938" s="12"/>
      <c r="L938" s="12"/>
    </row>
    <row r="939" spans="3:12" ht="12.75">
      <c r="C939" s="12"/>
      <c r="L939" s="12"/>
    </row>
    <row r="940" spans="3:12" ht="12.75">
      <c r="C940" s="12"/>
      <c r="L940" s="12"/>
    </row>
    <row r="941" spans="3:12" ht="12.75">
      <c r="C941" s="12"/>
      <c r="L941" s="12"/>
    </row>
    <row r="942" spans="3:12" ht="12.75">
      <c r="C942" s="12"/>
      <c r="L942" s="12"/>
    </row>
    <row r="943" spans="3:12" ht="12.75">
      <c r="C943" s="12"/>
      <c r="L943" s="12"/>
    </row>
    <row r="944" spans="3:12" ht="12.75">
      <c r="C944" s="12"/>
      <c r="L944" s="12"/>
    </row>
    <row r="945" spans="3:12" ht="12.75">
      <c r="C945" s="12"/>
      <c r="L945" s="12"/>
    </row>
    <row r="946" spans="3:12" ht="12.75">
      <c r="C946" s="12"/>
      <c r="L946" s="12"/>
    </row>
    <row r="947" spans="3:12" ht="12.75">
      <c r="C947" s="12"/>
      <c r="L947" s="12"/>
    </row>
    <row r="948" spans="3:12" ht="12.75">
      <c r="C948" s="12"/>
      <c r="L948" s="12"/>
    </row>
    <row r="949" spans="3:12" ht="12.75">
      <c r="C949" s="12"/>
      <c r="L949" s="12"/>
    </row>
    <row r="950" spans="3:12" ht="12.75">
      <c r="C950" s="12"/>
      <c r="L950" s="12"/>
    </row>
    <row r="951" spans="3:12" ht="12.75">
      <c r="C951" s="12"/>
      <c r="L951" s="12"/>
    </row>
    <row r="952" spans="3:12" ht="12.75">
      <c r="C952" s="12"/>
      <c r="L952" s="12"/>
    </row>
    <row r="953" spans="3:12" ht="12.75">
      <c r="C953" s="12"/>
      <c r="L953" s="12"/>
    </row>
    <row r="954" spans="3:12" ht="12.75">
      <c r="C954" s="12"/>
      <c r="L954" s="12"/>
    </row>
    <row r="955" spans="3:12" ht="12.75">
      <c r="C955" s="12"/>
      <c r="L955" s="12"/>
    </row>
    <row r="956" spans="3:12" ht="12.75">
      <c r="C956" s="12"/>
      <c r="L956" s="12"/>
    </row>
    <row r="957" spans="3:12" ht="12.75">
      <c r="C957" s="12"/>
      <c r="L957" s="12"/>
    </row>
    <row r="958" spans="3:12" ht="12.75">
      <c r="C958" s="12"/>
      <c r="L958" s="12"/>
    </row>
    <row r="959" spans="3:12" ht="12.75">
      <c r="C959" s="12"/>
      <c r="L959" s="12"/>
    </row>
    <row r="960" spans="3:12" ht="12.75">
      <c r="C960" s="12"/>
      <c r="L960" s="12"/>
    </row>
    <row r="961" spans="3:12" ht="12.75">
      <c r="C961" s="12"/>
      <c r="L961" s="12"/>
    </row>
    <row r="962" spans="3:12" ht="12.75">
      <c r="C962" s="12"/>
      <c r="L962" s="12"/>
    </row>
    <row r="963" spans="3:12" ht="12.75">
      <c r="C963" s="12"/>
      <c r="L963" s="12"/>
    </row>
    <row r="964" spans="3:12" ht="12.75">
      <c r="C964" s="12"/>
      <c r="L964" s="12"/>
    </row>
    <row r="965" spans="3:12" ht="12.75">
      <c r="C965" s="12"/>
      <c r="L965" s="12"/>
    </row>
    <row r="966" spans="3:12" ht="12.75">
      <c r="C966" s="12"/>
      <c r="L966" s="12"/>
    </row>
    <row r="967" spans="3:12" ht="12.75">
      <c r="C967" s="12"/>
      <c r="L967" s="12"/>
    </row>
    <row r="968" spans="3:12" ht="12.75">
      <c r="C968" s="12"/>
      <c r="L968" s="12"/>
    </row>
    <row r="969" spans="3:12" ht="12.75">
      <c r="C969" s="12"/>
      <c r="L969" s="12"/>
    </row>
    <row r="970" spans="3:12" ht="12.75">
      <c r="C970" s="12"/>
      <c r="L970" s="12"/>
    </row>
    <row r="971" spans="3:12" ht="12.75">
      <c r="C971" s="12"/>
      <c r="L971" s="12"/>
    </row>
    <row r="972" spans="3:12" ht="12.75">
      <c r="C972" s="12"/>
      <c r="L972" s="12"/>
    </row>
    <row r="973" spans="3:12" ht="12.75">
      <c r="C973" s="12"/>
      <c r="L973" s="12"/>
    </row>
    <row r="974" spans="3:12" ht="12.75">
      <c r="C974" s="12"/>
      <c r="L974" s="12"/>
    </row>
    <row r="975" spans="3:12" ht="12.75">
      <c r="C975" s="12"/>
      <c r="L975" s="12"/>
    </row>
    <row r="976" spans="3:12" ht="12.75">
      <c r="C976" s="12"/>
      <c r="L976" s="12"/>
    </row>
    <row r="977" spans="3:12" ht="12.75">
      <c r="C977" s="12"/>
      <c r="L977" s="12"/>
    </row>
    <row r="978" spans="3:12" ht="12.75">
      <c r="C978" s="12"/>
      <c r="L978" s="12"/>
    </row>
    <row r="979" spans="3:12" ht="12.75">
      <c r="C979" s="12"/>
      <c r="L979" s="12"/>
    </row>
    <row r="980" spans="3:12" ht="12.75">
      <c r="C980" s="12"/>
      <c r="L980" s="12"/>
    </row>
    <row r="981" spans="3:12" ht="12.75">
      <c r="C981" s="12"/>
      <c r="L981" s="12"/>
    </row>
    <row r="982" spans="3:12" ht="12.75">
      <c r="C982" s="12"/>
      <c r="L982" s="12"/>
    </row>
    <row r="983" spans="3:12" ht="12.75">
      <c r="C983" s="12"/>
      <c r="L983" s="12"/>
    </row>
    <row r="984" spans="3:12" ht="12.75">
      <c r="C984" s="12"/>
      <c r="L984" s="12"/>
    </row>
    <row r="985" spans="3:12" ht="12.75">
      <c r="C985" s="12"/>
      <c r="L985" s="12"/>
    </row>
    <row r="986" spans="3:12" ht="12.75">
      <c r="C986" s="12"/>
      <c r="L986" s="12"/>
    </row>
    <row r="987" spans="3:12" ht="12.75">
      <c r="C987" s="12"/>
      <c r="L987" s="12"/>
    </row>
    <row r="988" spans="3:12" ht="12.75">
      <c r="C988" s="12"/>
      <c r="L988" s="12"/>
    </row>
    <row r="989" spans="3:12" ht="12.75">
      <c r="C989" s="12"/>
      <c r="L989" s="12"/>
    </row>
    <row r="990" spans="3:12" ht="12.75">
      <c r="C990" s="12"/>
      <c r="L990" s="12"/>
    </row>
    <row r="991" spans="3:12" ht="12.75">
      <c r="C991" s="12"/>
      <c r="L991" s="12"/>
    </row>
    <row r="992" spans="3:12" ht="12.75">
      <c r="C992" s="12"/>
      <c r="L992" s="12"/>
    </row>
    <row r="993" spans="3:12" ht="12.75">
      <c r="C993" s="12"/>
      <c r="L993" s="12"/>
    </row>
    <row r="994" spans="3:12" ht="12.75">
      <c r="C994" s="12"/>
      <c r="L994" s="12"/>
    </row>
    <row r="995" spans="3:12" ht="12.75">
      <c r="C995" s="12"/>
      <c r="L995" s="12"/>
    </row>
    <row r="996" spans="3:12" ht="12.75">
      <c r="C996" s="12"/>
      <c r="L996" s="12"/>
    </row>
    <row r="997" spans="3:12" ht="12.75">
      <c r="C997" s="12"/>
      <c r="L997" s="12"/>
    </row>
    <row r="998" spans="3:12" ht="12.75">
      <c r="C998" s="12"/>
      <c r="L998" s="12"/>
    </row>
    <row r="999" spans="3:12" ht="12.75">
      <c r="C999" s="12"/>
      <c r="L999" s="12"/>
    </row>
    <row r="1000" spans="3:12" ht="12.75">
      <c r="C1000" s="12"/>
      <c r="L1000" s="12"/>
    </row>
  </sheetData>
  <conditionalFormatting sqref="E1:E1000">
    <cfRule type="cellIs" dxfId="11" priority="1" operator="equal">
      <formula>"UNKNOWN"</formula>
    </cfRule>
  </conditionalFormatting>
  <conditionalFormatting sqref="E1:E1000">
    <cfRule type="cellIs" dxfId="10" priority="2" operator="equal">
      <formula>"CLOSED"</formula>
    </cfRule>
  </conditionalFormatting>
  <conditionalFormatting sqref="E1:E1000">
    <cfRule type="cellIs" dxfId="9" priority="3" operator="equal">
      <formula>"OPEN"</formula>
    </cfRule>
  </conditionalFormatting>
  <conditionalFormatting sqref="F1:F1000">
    <cfRule type="cellIs" dxfId="8" priority="4" operator="equal">
      <formula>"YES"</formula>
    </cfRule>
  </conditionalFormatting>
  <conditionalFormatting sqref="F1:F1000">
    <cfRule type="cellIs" dxfId="7" priority="5" operator="equal">
      <formula>"NO"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 activeCell="B36" sqref="B36"/>
    </sheetView>
  </sheetViews>
  <sheetFormatPr defaultColWidth="14.42578125" defaultRowHeight="15.75" customHeight="1"/>
  <cols>
    <col min="1" max="1" width="31.140625" customWidth="1"/>
    <col min="2" max="2" width="19.140625" customWidth="1"/>
    <col min="3" max="3" width="20.140625" customWidth="1"/>
    <col min="4" max="4" width="12.140625" customWidth="1"/>
    <col min="5" max="5" width="16.5703125" customWidth="1"/>
    <col min="6" max="6" width="16.140625" customWidth="1"/>
    <col min="7" max="7" width="14.85546875" customWidth="1"/>
    <col min="8" max="8" width="22.140625" customWidth="1"/>
    <col min="9" max="9" width="16.140625" customWidth="1"/>
    <col min="10" max="10" width="11.7109375" customWidth="1"/>
    <col min="11" max="11" width="16.140625" customWidth="1"/>
    <col min="12" max="12" width="16.5703125" customWidth="1"/>
    <col min="13" max="13" width="22.140625" customWidth="1"/>
    <col min="14" max="14" width="11.42578125" customWidth="1"/>
    <col min="15" max="15" width="12.140625" customWidth="1"/>
    <col min="16" max="16" width="13.7109375" customWidth="1"/>
    <col min="17" max="17" width="14.85546875" customWidth="1"/>
    <col min="18" max="18" width="47.5703125" customWidth="1"/>
  </cols>
  <sheetData>
    <row r="1" spans="1:26" ht="15.75" customHeight="1">
      <c r="A1" s="2" t="str">
        <f ca="1">IFERROR(__xludf.DUMMYFUNCTION("SORT(FILTER({MASTER!H1,MASTER!K1:L1,MASTER!N1:T1},1=1),4,TRUE)"),"CLIENT ID")</f>
        <v>CLIENT ID</v>
      </c>
      <c r="B1" s="6" t="s">
        <v>0</v>
      </c>
      <c r="C1" s="6" t="s">
        <v>1</v>
      </c>
      <c r="D1" s="6" t="s">
        <v>2</v>
      </c>
      <c r="E1" s="8" t="s">
        <v>3</v>
      </c>
      <c r="F1" s="8" t="s">
        <v>5</v>
      </c>
      <c r="G1" s="8" t="s">
        <v>6</v>
      </c>
      <c r="H1" s="6" t="s">
        <v>7</v>
      </c>
      <c r="I1" s="6" t="s">
        <v>8</v>
      </c>
      <c r="J1" s="9" t="s">
        <v>9</v>
      </c>
      <c r="K1" s="10"/>
      <c r="L1" s="6"/>
      <c r="M1" s="6"/>
      <c r="N1" s="8"/>
      <c r="O1" s="8"/>
      <c r="P1" s="8"/>
      <c r="Q1" s="6"/>
      <c r="R1" s="6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t="str">
        <f ca="1">IFERROR(__xludf.DUMMYFUNCTION("SORT(FILTER({MASTER!H:H,MASTER!K:L,MASTER!N:T}, MASTER!M1:M1001=""OPEN""), 3, TRUE)"),"#N/A")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36.85546875" customWidth="1"/>
    <col min="2" max="2" width="12.140625" customWidth="1"/>
    <col min="3" max="4" width="16.85546875" customWidth="1"/>
    <col min="5" max="5" width="14.85546875" customWidth="1"/>
    <col min="6" max="6" width="11.7109375" customWidth="1"/>
    <col min="8" max="9" width="14.85546875" customWidth="1"/>
    <col min="10" max="10" width="16.140625" customWidth="1"/>
  </cols>
  <sheetData>
    <row r="1" spans="1:10" ht="15.75" customHeight="1">
      <c r="A1" s="1" t="str">
        <f ca="1">IFERROR(__xludf.DUMMYFUNCTION("FILTER({MASTER!H1,MASTER!K1:L1,MASTER!N1:T1},1=1)"),"CLIENT ID")</f>
        <v>CLIENT ID</v>
      </c>
      <c r="B1" s="1" t="s">
        <v>0</v>
      </c>
      <c r="C1" s="1" t="s">
        <v>1</v>
      </c>
      <c r="D1" s="1" t="s">
        <v>2</v>
      </c>
      <c r="E1" s="3" t="s">
        <v>3</v>
      </c>
      <c r="F1" s="3" t="s">
        <v>5</v>
      </c>
      <c r="G1" s="3" t="s">
        <v>6</v>
      </c>
      <c r="H1" s="1" t="s">
        <v>7</v>
      </c>
      <c r="I1" s="1" t="s">
        <v>8</v>
      </c>
      <c r="J1" s="5" t="s">
        <v>9</v>
      </c>
    </row>
    <row r="2" spans="1:10" ht="15.75" customHeight="1">
      <c r="A2" t="str">
        <f ca="1">IFERROR(__xludf.DUMMYFUNCTION("SORT(FILTER({MASTER!H:H,MASTER!K:L,MASTER!N:T},MASTER!M:M=""CLOSED""),3,TRUE)"),"#N/A")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ColWidth="14.42578125" defaultRowHeight="15.75" customHeight="1"/>
  <cols>
    <col min="2" max="2" width="19.140625" customWidth="1"/>
    <col min="5" max="5" width="24.140625" customWidth="1"/>
  </cols>
  <sheetData>
    <row r="1" spans="1:5" ht="15.75" customHeight="1">
      <c r="A1" s="15" t="s">
        <v>32</v>
      </c>
      <c r="B1" s="16" t="s">
        <v>35</v>
      </c>
      <c r="D1" s="17" t="s">
        <v>10</v>
      </c>
      <c r="E1" s="17" t="s">
        <v>39</v>
      </c>
    </row>
    <row r="2" spans="1:5" ht="15.75" customHeight="1">
      <c r="A2" s="15" t="s">
        <v>40</v>
      </c>
      <c r="B2" s="18" t="s">
        <v>41</v>
      </c>
      <c r="D2" s="17" t="s">
        <v>14</v>
      </c>
      <c r="E2" s="17" t="s">
        <v>43</v>
      </c>
    </row>
    <row r="3" spans="1:5" ht="15.75" customHeight="1">
      <c r="D3" s="17" t="s">
        <v>44</v>
      </c>
      <c r="E3" s="17" t="s">
        <v>45</v>
      </c>
    </row>
    <row r="4" spans="1:5" ht="15.75" customHeight="1">
      <c r="D4" s="17" t="s">
        <v>46</v>
      </c>
      <c r="E4" s="17" t="s">
        <v>47</v>
      </c>
    </row>
    <row r="5" spans="1:5" ht="15.75" customHeight="1">
      <c r="E5" s="17" t="s">
        <v>48</v>
      </c>
    </row>
    <row r="6" spans="1:5" ht="15.75" customHeight="1">
      <c r="E6" s="17" t="s">
        <v>50</v>
      </c>
    </row>
    <row r="7" spans="1:5" ht="15.75" customHeight="1">
      <c r="E7" s="17" t="s">
        <v>52</v>
      </c>
    </row>
    <row r="8" spans="1:5" ht="15.75" customHeight="1">
      <c r="E8" s="17" t="s">
        <v>53</v>
      </c>
    </row>
    <row r="9" spans="1:5" ht="15.75" customHeight="1">
      <c r="E9" s="17" t="s">
        <v>54</v>
      </c>
    </row>
    <row r="10" spans="1:5" ht="15.75" customHeight="1">
      <c r="E10" s="17" t="s">
        <v>55</v>
      </c>
    </row>
    <row r="11" spans="1:5" ht="15.75" customHeight="1">
      <c r="E11" s="17" t="s">
        <v>56</v>
      </c>
    </row>
    <row r="12" spans="1:5" ht="15.75" customHeight="1">
      <c r="E12" s="17" t="s">
        <v>57</v>
      </c>
    </row>
    <row r="13" spans="1:5" ht="15.75" customHeight="1">
      <c r="E13" s="17" t="s">
        <v>13</v>
      </c>
    </row>
    <row r="14" spans="1:5" ht="15.75" customHeight="1">
      <c r="E14" s="17" t="s">
        <v>58</v>
      </c>
    </row>
    <row r="15" spans="1:5" ht="15.75" customHeight="1">
      <c r="E15" s="17" t="s">
        <v>59</v>
      </c>
    </row>
    <row r="16" spans="1:5" ht="15.75" customHeight="1">
      <c r="E16" s="17" t="s">
        <v>60</v>
      </c>
    </row>
    <row r="17" spans="5:5" ht="15.75" customHeight="1">
      <c r="E17" s="17" t="s">
        <v>61</v>
      </c>
    </row>
    <row r="18" spans="5:5" ht="15.75" customHeight="1">
      <c r="E18" s="17" t="s">
        <v>62</v>
      </c>
    </row>
    <row r="19" spans="5:5" ht="15.75" customHeight="1">
      <c r="E19" s="17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6"/>
  <sheetViews>
    <sheetView topLeftCell="K1" workbookViewId="0">
      <pane ySplit="1" topLeftCell="A2" activePane="bottomLeft" state="frozen"/>
      <selection pane="bottomLeft" activeCell="A2" sqref="A2"/>
    </sheetView>
  </sheetViews>
  <sheetFormatPr defaultColWidth="14.42578125" defaultRowHeight="15.75" customHeight="1"/>
  <cols>
    <col min="1" max="1" width="17.7109375" customWidth="1"/>
    <col min="2" max="2" width="15.140625" customWidth="1"/>
    <col min="3" max="3" width="22.140625" customWidth="1"/>
    <col min="4" max="4" width="19" customWidth="1"/>
    <col min="5" max="5" width="23.5703125" customWidth="1"/>
    <col min="6" max="6" width="43.85546875" customWidth="1"/>
    <col min="7" max="7" width="55.140625" customWidth="1"/>
    <col min="8" max="8" width="42.28515625" customWidth="1"/>
    <col min="9" max="9" width="13.28515625" customWidth="1"/>
    <col min="10" max="10" width="9.28515625" customWidth="1"/>
    <col min="11" max="11" width="12.7109375" customWidth="1"/>
    <col min="12" max="12" width="24" customWidth="1"/>
    <col min="13" max="13" width="14" customWidth="1"/>
    <col min="14" max="14" width="11.42578125" customWidth="1"/>
    <col min="15" max="15" width="11.28515625" customWidth="1"/>
    <col min="16" max="16" width="12.5703125" customWidth="1"/>
    <col min="17" max="17" width="14" customWidth="1"/>
    <col min="18" max="18" width="16.5703125" customWidth="1"/>
    <col min="19" max="19" width="47.140625" customWidth="1"/>
    <col min="20" max="20" width="16.42578125" customWidth="1"/>
  </cols>
  <sheetData>
    <row r="1" spans="1:20" ht="12.75">
      <c r="A1" s="6" t="str">
        <f t="array" ref="A1:A256">IF(ROW(A1:A256)=1,"UPDATE DETAILS", IF(ISBLANK(H1:H256), "NA", HYPERLINK("https://docs.google.com/forms/d/1sdamcYaC8b3qgvHyBWHXHMZvWG9hYBlh9gx3e1mFYEM/viewform?" &amp; "entry.97229552=" &amp; C1:C256 &amp; "&amp;entry.73470703=" &amp; D1:D256 &amp; "&amp;entry.610927917=" &amp; E1:E256 &amp; "&amp;entry.251733383=" &amp; F1:F256 &amp; "&amp;entry.738369901=" &amp; I1:I256 &amp; "&amp;entry.336840860=" &amp; J1:J256, "UPDATE DETAILS")))</f>
        <v>UPDATE DETAILS</v>
      </c>
      <c r="B1" s="6" t="str">
        <f t="array" ref="B1:B256">IF(ROW(A1:A256)=1,"SET SCHEDULE", IF(N1:N256 = "NO", HYPERLINK("https://docs.google.com/forms/d/18NGjRqgqRShk5XBL5XGkoBlq_GEHoz54miLu2tR4kCw/viewform?" &amp; "entry.434742719=" &amp; INFO!$B$2 &amp; "&amp;entry.664797508=" &amp; L1:L256 &amp; "&amp;entry.950455704=" &amp; H1:H256 &amp; "&amp;entry.1571222428=" &amp; K1:K256, "SET SCHEDULE"),""))</f>
        <v>SET SCHEDULE</v>
      </c>
      <c r="C1" s="6" t="s">
        <v>144</v>
      </c>
      <c r="D1" s="6" t="s">
        <v>145</v>
      </c>
      <c r="E1" s="6" t="s">
        <v>146</v>
      </c>
      <c r="F1" s="6" t="s">
        <v>147</v>
      </c>
      <c r="G1" s="6" t="str">
        <f t="array" ref="G1:G256">IF(ROW(A1:A256)=1, "CLIENT ID (TEMP)", IF(ISBLANK(C1:C256),"",C1:C256 &amp; " - ") &amp; IF(ISBLANK(D1:D256),"",D1:D256 &amp; " - ") &amp; IF(ISBLANK(E1:E256), "", E1:E256 &amp; " - ") &amp; IF(ISBLANK(F1:F256), "", F1:F256
 &amp; " - "))</f>
        <v>CLIENT ID (TEMP)</v>
      </c>
      <c r="H1" s="6" t="s">
        <v>4</v>
      </c>
      <c r="I1" s="6" t="s">
        <v>485</v>
      </c>
      <c r="J1" s="6" t="s">
        <v>486</v>
      </c>
      <c r="K1" s="10" t="s">
        <v>0</v>
      </c>
      <c r="L1" s="6" t="s">
        <v>1</v>
      </c>
      <c r="M1" s="6" t="str">
        <f t="array" aca="1" ref="M1:M256" ca="1">IF(ROW(A1:A256)=1,"STATUS",IF(T1:T256="","UNKNOWN",VLOOKUP(T1:T256,RESPONSES!A:L,6,FALSE)))</f>
        <v>STATUS</v>
      </c>
      <c r="N1" s="6" t="s">
        <v>2</v>
      </c>
      <c r="O1" s="8" t="str">
        <f t="array" aca="1" ref="O1:O256" ca="1">IF(ROW(A1:A256)=1,"OPENS AT",IF(T1:T256="","",VLOOKUP(T1:T256,RESPONSES!A:L,7,FALSE)))</f>
        <v>OPENS AT</v>
      </c>
      <c r="P1" s="8" t="str">
        <f t="array" aca="1" ref="P1:P256" ca="1">IF(ROW(A1:A256)=1,"CLOSES AT",IF(T1:T256="","",VLOOKUP(T1:T256,RESPONSES!A:L,8,FALSE)))</f>
        <v>CLOSES AT</v>
      </c>
      <c r="Q1" s="8" t="str">
        <f t="array" aca="1" ref="Q1:Q256" ca="1">IF(ROW(A1:A256)=1,"LAST PICKUP",IF(T1:T256="","",VLOOKUP(T1:T256,RESPONSES!A:L,9,FALSE)))</f>
        <v>LAST PICKUP</v>
      </c>
      <c r="R1" s="6" t="str">
        <f t="array" aca="1" ref="R1:R256" ca="1">IF(ROW(A1:A256)=1,"VERIFIED WITH",IF(T1:T256="","",VLOOKUP(T1:T256,RESPONSES!A:L,10,FALSE)))</f>
        <v>VERIFIED WITH</v>
      </c>
      <c r="S1" s="6" t="str">
        <f t="array" aca="1" ref="S1:S256" ca="1">IF(ROW(A1:A256)=1,"COMMENTS",IF(T1:T256="","",VLOOKUP(T1:T256,RESPONSES!A:L,11,FALSE)))</f>
        <v>COMMENTS</v>
      </c>
      <c r="T1" s="9" t="str">
        <f t="array" ref="T1:T256">IF(ROW(A1:A256)=1,"RESPONSE TIME",IFERROR(VLOOKUP(H1:H256,RESPONSES!D:L,9,FALSE),""))</f>
        <v>RESPONSE TIME</v>
      </c>
    </row>
    <row r="2" spans="1:20" ht="12.75">
      <c r="A2" s="11" t="str">
        <v>UPDATE DETAILS</v>
      </c>
      <c r="B2" s="11" t="str">
        <v>SET SCHEDULE</v>
      </c>
      <c r="D2" s="17" t="s">
        <v>487</v>
      </c>
      <c r="E2" s="17" t="s">
        <v>488</v>
      </c>
      <c r="G2" t="str">
        <v xml:space="preserve">12 West 72nd Street - INT MED - </v>
      </c>
      <c r="H2" t="s">
        <v>289</v>
      </c>
      <c r="J2" s="17" t="s">
        <v>15</v>
      </c>
      <c r="K2" s="19">
        <v>17775</v>
      </c>
      <c r="L2" s="17" t="s">
        <v>47</v>
      </c>
      <c r="M2" s="17" t="str">
        <f ca="1"/>
        <v>UNKNOWN</v>
      </c>
      <c r="N2" s="17" t="s">
        <v>15</v>
      </c>
      <c r="O2" s="13" t="str">
        <f ca="1"/>
        <v/>
      </c>
      <c r="P2" s="13" t="str">
        <f ca="1"/>
        <v/>
      </c>
      <c r="Q2" s="13" t="str">
        <f ca="1"/>
        <v/>
      </c>
      <c r="R2" s="17" t="str">
        <f ca="1"/>
        <v/>
      </c>
      <c r="S2" t="str">
        <f ca="1"/>
        <v/>
      </c>
      <c r="T2" s="20" t="str">
        <v/>
      </c>
    </row>
    <row r="3" spans="1:20" ht="12.75">
      <c r="A3" s="11" t="str">
        <v>UPDATE DETAILS</v>
      </c>
      <c r="B3" s="11" t="str">
        <v>SET SCHEDULE</v>
      </c>
      <c r="D3" s="17" t="s">
        <v>487</v>
      </c>
      <c r="E3" s="17" t="s">
        <v>489</v>
      </c>
      <c r="G3" t="str">
        <v xml:space="preserve">12 West 72nd Street - OB-GYN - </v>
      </c>
      <c r="H3" t="s">
        <v>290</v>
      </c>
      <c r="J3" s="17" t="s">
        <v>15</v>
      </c>
      <c r="K3" s="19">
        <v>17792</v>
      </c>
      <c r="L3" s="17" t="s">
        <v>47</v>
      </c>
      <c r="M3" s="17" t="str">
        <f ca="1"/>
        <v>UNKNOWN</v>
      </c>
      <c r="N3" s="17" t="s">
        <v>15</v>
      </c>
      <c r="O3" s="13" t="str">
        <f ca="1"/>
        <v/>
      </c>
      <c r="P3" s="17" t="str">
        <f ca="1"/>
        <v/>
      </c>
      <c r="Q3" s="13" t="str">
        <f ca="1"/>
        <v/>
      </c>
      <c r="R3" s="17" t="str">
        <f ca="1"/>
        <v/>
      </c>
      <c r="S3" t="str">
        <f ca="1"/>
        <v/>
      </c>
      <c r="T3" s="20" t="str">
        <v/>
      </c>
    </row>
    <row r="4" spans="1:20" ht="19.5" customHeight="1">
      <c r="A4" s="11" t="str">
        <v>UPDATE DETAILS</v>
      </c>
      <c r="B4" s="11" t="str">
        <v>SET SCHEDULE</v>
      </c>
      <c r="D4" s="17" t="s">
        <v>487</v>
      </c>
      <c r="E4" s="17" t="s">
        <v>490</v>
      </c>
      <c r="G4" t="str">
        <v xml:space="preserve">12 West 72nd Street - PEDS - </v>
      </c>
      <c r="H4" t="s">
        <v>111</v>
      </c>
      <c r="J4" s="17" t="s">
        <v>15</v>
      </c>
      <c r="K4" s="19">
        <v>17766</v>
      </c>
      <c r="L4" s="17" t="s">
        <v>55</v>
      </c>
      <c r="M4" s="17" t="str">
        <f ca="1"/>
        <v>UNKNOWN</v>
      </c>
      <c r="N4" s="17" t="s">
        <v>15</v>
      </c>
      <c r="O4" s="13" t="str">
        <f ca="1"/>
        <v/>
      </c>
      <c r="P4" s="13" t="str">
        <f ca="1"/>
        <v/>
      </c>
      <c r="Q4" s="13" t="str">
        <f ca="1"/>
        <v/>
      </c>
      <c r="R4" s="17" t="str">
        <f ca="1"/>
        <v/>
      </c>
      <c r="S4" s="17" t="str">
        <f ca="1"/>
        <v/>
      </c>
      <c r="T4" s="20" t="str">
        <v/>
      </c>
    </row>
    <row r="5" spans="1:20" ht="12.75">
      <c r="A5" s="11" t="str">
        <v>UPDATE DETAILS</v>
      </c>
      <c r="B5" s="11" t="str">
        <v>SET SCHEDULE</v>
      </c>
      <c r="D5" s="17" t="s">
        <v>491</v>
      </c>
      <c r="F5" s="17" t="s">
        <v>492</v>
      </c>
      <c r="G5" t="str">
        <v xml:space="preserve">123 W 86th Street - [OFFICE] - </v>
      </c>
      <c r="H5" t="s">
        <v>295</v>
      </c>
      <c r="J5" s="17" t="s">
        <v>15</v>
      </c>
      <c r="K5" s="19" t="s">
        <v>296</v>
      </c>
      <c r="L5" s="17" t="s">
        <v>53</v>
      </c>
      <c r="M5" s="17" t="str">
        <f ca="1"/>
        <v>UNKNOWN</v>
      </c>
      <c r="N5" s="17" t="s">
        <v>15</v>
      </c>
      <c r="O5" s="13" t="str">
        <f ca="1"/>
        <v/>
      </c>
      <c r="P5" s="13" t="str">
        <f ca="1"/>
        <v/>
      </c>
      <c r="Q5" s="13" t="str">
        <f ca="1"/>
        <v/>
      </c>
      <c r="R5" s="17" t="str">
        <f ca="1"/>
        <v/>
      </c>
      <c r="S5" t="str">
        <f ca="1"/>
        <v/>
      </c>
      <c r="T5" s="20" t="str">
        <v/>
      </c>
    </row>
    <row r="6" spans="1:20" ht="12.75">
      <c r="A6" s="11" t="str">
        <v>UPDATE DETAILS</v>
      </c>
      <c r="B6" s="11" t="str">
        <v>SET SCHEDULE</v>
      </c>
      <c r="D6" s="17" t="s">
        <v>491</v>
      </c>
      <c r="F6" s="17" t="s">
        <v>493</v>
      </c>
      <c r="G6" t="str">
        <v xml:space="preserve">123 W 86th Street - Altman, Richard - </v>
      </c>
      <c r="H6" t="s">
        <v>297</v>
      </c>
      <c r="J6" s="17" t="s">
        <v>15</v>
      </c>
      <c r="K6" s="19" t="s">
        <v>296</v>
      </c>
      <c r="L6" s="17" t="s">
        <v>53</v>
      </c>
      <c r="M6" s="17" t="str">
        <f ca="1"/>
        <v>UNKNOWN</v>
      </c>
      <c r="N6" s="17" t="s">
        <v>15</v>
      </c>
      <c r="O6" s="13" t="str">
        <f ca="1"/>
        <v/>
      </c>
      <c r="P6" s="13" t="str">
        <f ca="1"/>
        <v/>
      </c>
      <c r="Q6" s="13" t="str">
        <f ca="1"/>
        <v/>
      </c>
      <c r="R6" s="17" t="str">
        <f ca="1"/>
        <v/>
      </c>
      <c r="S6" t="str">
        <f ca="1"/>
        <v/>
      </c>
      <c r="T6" s="20" t="str">
        <v/>
      </c>
    </row>
    <row r="7" spans="1:20" ht="12.75">
      <c r="A7" s="11" t="str">
        <v>UPDATE DETAILS</v>
      </c>
      <c r="B7" s="11" t="str">
        <v>SET SCHEDULE</v>
      </c>
      <c r="D7" s="17" t="s">
        <v>491</v>
      </c>
      <c r="F7" s="17" t="s">
        <v>494</v>
      </c>
      <c r="G7" t="str">
        <v xml:space="preserve">123 W 86th Street - Arons, Elliot - </v>
      </c>
      <c r="H7" t="s">
        <v>298</v>
      </c>
      <c r="J7" s="17" t="s">
        <v>15</v>
      </c>
      <c r="K7" s="19" t="s">
        <v>296</v>
      </c>
      <c r="L7" s="17" t="s">
        <v>53</v>
      </c>
      <c r="M7" s="17" t="str">
        <f ca="1"/>
        <v>UNKNOWN</v>
      </c>
      <c r="N7" s="17" t="s">
        <v>15</v>
      </c>
      <c r="O7" s="13" t="str">
        <f ca="1"/>
        <v/>
      </c>
      <c r="P7" s="13" t="str">
        <f ca="1"/>
        <v/>
      </c>
      <c r="Q7" s="13" t="str">
        <f ca="1"/>
        <v/>
      </c>
      <c r="R7" s="17" t="str">
        <f ca="1"/>
        <v/>
      </c>
      <c r="S7" t="str">
        <f ca="1"/>
        <v/>
      </c>
      <c r="T7" s="20" t="str">
        <v/>
      </c>
    </row>
    <row r="8" spans="1:20" ht="12.75">
      <c r="A8" s="11" t="str">
        <v>UPDATE DETAILS</v>
      </c>
      <c r="B8" s="11" t="str">
        <v>SET SCHEDULE</v>
      </c>
      <c r="D8" s="17" t="s">
        <v>491</v>
      </c>
      <c r="F8" s="17" t="s">
        <v>495</v>
      </c>
      <c r="G8" t="str">
        <v xml:space="preserve">123 W 86th Street - Blye, Ellen - </v>
      </c>
      <c r="H8" t="s">
        <v>299</v>
      </c>
      <c r="J8" s="17" t="s">
        <v>15</v>
      </c>
      <c r="K8" s="19" t="s">
        <v>296</v>
      </c>
      <c r="L8" s="17" t="s">
        <v>53</v>
      </c>
      <c r="M8" s="17" t="str">
        <f ca="1"/>
        <v>UNKNOWN</v>
      </c>
      <c r="N8" s="17" t="s">
        <v>15</v>
      </c>
      <c r="O8" s="13" t="str">
        <f ca="1"/>
        <v/>
      </c>
      <c r="P8" s="13" t="str">
        <f ca="1"/>
        <v/>
      </c>
      <c r="Q8" s="13" t="str">
        <f ca="1"/>
        <v/>
      </c>
      <c r="R8" s="17" t="str">
        <f ca="1"/>
        <v/>
      </c>
      <c r="S8" t="str">
        <f ca="1"/>
        <v/>
      </c>
      <c r="T8" s="20" t="str">
        <v/>
      </c>
    </row>
    <row r="9" spans="1:20" ht="12.75">
      <c r="A9" s="11" t="str">
        <v>UPDATE DETAILS</v>
      </c>
      <c r="B9" s="11" t="str">
        <v>SET SCHEDULE</v>
      </c>
      <c r="D9" s="17" t="s">
        <v>496</v>
      </c>
      <c r="E9" s="17" t="s">
        <v>497</v>
      </c>
      <c r="F9" s="17" t="s">
        <v>498</v>
      </c>
      <c r="G9" t="str">
        <v xml:space="preserve">1305 York Ave - 4th Fl - De Jong, Ype - </v>
      </c>
      <c r="H9" t="s">
        <v>332</v>
      </c>
      <c r="J9" s="17" t="s">
        <v>15</v>
      </c>
      <c r="K9" s="19" t="s">
        <v>333</v>
      </c>
      <c r="L9" s="17" t="s">
        <v>62</v>
      </c>
      <c r="M9" s="17" t="str">
        <f ca="1"/>
        <v>UNKNOWN</v>
      </c>
      <c r="N9" s="17" t="s">
        <v>15</v>
      </c>
      <c r="O9" s="13" t="str">
        <f ca="1"/>
        <v/>
      </c>
      <c r="P9" s="13" t="str">
        <f ca="1"/>
        <v/>
      </c>
      <c r="Q9" s="13" t="str">
        <f ca="1"/>
        <v/>
      </c>
      <c r="R9" s="17" t="str">
        <f ca="1"/>
        <v/>
      </c>
      <c r="S9" t="str">
        <f ca="1"/>
        <v/>
      </c>
      <c r="T9" s="20" t="str">
        <v/>
      </c>
    </row>
    <row r="10" spans="1:20" ht="12.75">
      <c r="A10" s="11" t="str">
        <v>UPDATE DETAILS</v>
      </c>
      <c r="B10" s="11" t="str">
        <v>SET SCHEDULE</v>
      </c>
      <c r="D10" s="17" t="s">
        <v>496</v>
      </c>
      <c r="E10" s="17" t="s">
        <v>499</v>
      </c>
      <c r="F10" s="17" t="s">
        <v>500</v>
      </c>
      <c r="G10" t="str">
        <v xml:space="preserve">1305 York Ave - 4th Floor - Brown, Robert - </v>
      </c>
      <c r="H10" t="s">
        <v>334</v>
      </c>
      <c r="J10" s="17" t="s">
        <v>15</v>
      </c>
      <c r="K10" s="19" t="s">
        <v>335</v>
      </c>
      <c r="L10" s="17" t="s">
        <v>62</v>
      </c>
      <c r="M10" s="17" t="str">
        <f ca="1"/>
        <v>UNKNOWN</v>
      </c>
      <c r="N10" s="17" t="s">
        <v>15</v>
      </c>
      <c r="O10" s="13" t="str">
        <f ca="1"/>
        <v/>
      </c>
      <c r="P10" s="13" t="str">
        <f ca="1"/>
        <v/>
      </c>
      <c r="Q10" s="13" t="str">
        <f ca="1"/>
        <v/>
      </c>
      <c r="R10" s="17" t="str">
        <f ca="1"/>
        <v/>
      </c>
      <c r="S10" t="str">
        <f ca="1"/>
        <v/>
      </c>
      <c r="T10" s="20" t="str">
        <v/>
      </c>
    </row>
    <row r="11" spans="1:20" ht="12.75">
      <c r="A11" s="11" t="str">
        <v>UPDATE DETAILS</v>
      </c>
      <c r="B11" s="11" t="str">
        <v>SET SCHEDULE</v>
      </c>
      <c r="D11" s="17" t="s">
        <v>496</v>
      </c>
      <c r="E11" s="17" t="s">
        <v>499</v>
      </c>
      <c r="F11" s="17" t="s">
        <v>501</v>
      </c>
      <c r="G11" t="str">
        <v xml:space="preserve">1305 York Ave - 4th Floor - Bunim, Ari Lance - </v>
      </c>
      <c r="H11" t="s">
        <v>336</v>
      </c>
      <c r="J11" s="17" t="s">
        <v>15</v>
      </c>
      <c r="K11" s="19" t="s">
        <v>335</v>
      </c>
      <c r="L11" s="17" t="s">
        <v>62</v>
      </c>
      <c r="M11" s="17" t="str">
        <f ca="1"/>
        <v>UNKNOWN</v>
      </c>
      <c r="N11" s="17" t="s">
        <v>15</v>
      </c>
      <c r="O11" s="13" t="str">
        <f ca="1"/>
        <v/>
      </c>
      <c r="P11" s="13" t="str">
        <f ca="1"/>
        <v/>
      </c>
      <c r="Q11" s="13" t="str">
        <f ca="1"/>
        <v/>
      </c>
      <c r="R11" s="17" t="str">
        <f ca="1"/>
        <v/>
      </c>
      <c r="S11" t="str">
        <f ca="1"/>
        <v/>
      </c>
      <c r="T11" s="20" t="str">
        <v/>
      </c>
    </row>
    <row r="12" spans="1:20" ht="12.75">
      <c r="A12" s="11" t="str">
        <v>UPDATE DETAILS</v>
      </c>
      <c r="B12" s="11" t="str">
        <v>SET SCHEDULE</v>
      </c>
      <c r="D12" s="17" t="s">
        <v>496</v>
      </c>
      <c r="E12" s="17" t="s">
        <v>499</v>
      </c>
      <c r="F12" s="17" t="s">
        <v>502</v>
      </c>
      <c r="G12" t="str">
        <v xml:space="preserve">1305 York Ave - 4th Floor - Fox, Alyson - </v>
      </c>
      <c r="H12" t="s">
        <v>337</v>
      </c>
      <c r="J12" s="17" t="s">
        <v>15</v>
      </c>
      <c r="K12" s="19" t="s">
        <v>338</v>
      </c>
      <c r="L12" s="17" t="s">
        <v>62</v>
      </c>
      <c r="M12" s="17" t="str">
        <f ca="1"/>
        <v>UNKNOWN</v>
      </c>
      <c r="N12" s="17" t="s">
        <v>15</v>
      </c>
      <c r="O12" s="13" t="str">
        <f ca="1"/>
        <v/>
      </c>
      <c r="P12" s="13" t="str">
        <f ca="1"/>
        <v/>
      </c>
      <c r="Q12" s="13" t="str">
        <f ca="1"/>
        <v/>
      </c>
      <c r="R12" s="17" t="str">
        <f ca="1"/>
        <v/>
      </c>
      <c r="S12" t="str">
        <f ca="1"/>
        <v/>
      </c>
      <c r="T12" s="20" t="str">
        <v/>
      </c>
    </row>
    <row r="13" spans="1:20" ht="12.75">
      <c r="A13" s="11" t="str">
        <v>UPDATE DETAILS</v>
      </c>
      <c r="B13" s="11" t="str">
        <v>SET SCHEDULE</v>
      </c>
      <c r="D13" s="17" t="s">
        <v>496</v>
      </c>
      <c r="E13" s="17" t="s">
        <v>499</v>
      </c>
      <c r="F13" s="17" t="s">
        <v>503</v>
      </c>
      <c r="G13" t="str">
        <v xml:space="preserve">1305 York Ave - 4th Floor - Frissora, Christine - </v>
      </c>
      <c r="H13" t="s">
        <v>339</v>
      </c>
      <c r="J13" s="17" t="s">
        <v>15</v>
      </c>
      <c r="K13" s="19" t="s">
        <v>340</v>
      </c>
      <c r="L13" s="17" t="s">
        <v>62</v>
      </c>
      <c r="M13" s="17" t="str">
        <f ca="1"/>
        <v>UNKNOWN</v>
      </c>
      <c r="N13" s="17" t="s">
        <v>15</v>
      </c>
      <c r="O13" s="13" t="str">
        <f ca="1"/>
        <v/>
      </c>
      <c r="P13" s="13" t="str">
        <f ca="1"/>
        <v/>
      </c>
      <c r="Q13" s="13" t="str">
        <f ca="1"/>
        <v/>
      </c>
      <c r="R13" s="17" t="str">
        <f ca="1"/>
        <v/>
      </c>
      <c r="S13" t="str">
        <f ca="1"/>
        <v/>
      </c>
      <c r="T13" s="20" t="str">
        <v/>
      </c>
    </row>
    <row r="14" spans="1:20" ht="12.75">
      <c r="A14" s="11" t="str">
        <v>UPDATE DETAILS</v>
      </c>
      <c r="B14" s="11" t="str">
        <v>SET SCHEDULE</v>
      </c>
      <c r="D14" s="17" t="s">
        <v>496</v>
      </c>
      <c r="E14" s="17" t="s">
        <v>499</v>
      </c>
      <c r="F14" s="17" t="s">
        <v>504</v>
      </c>
      <c r="G14" t="str">
        <v xml:space="preserve">1305 York Ave - 4th Floor - Jesudian, Eleni - </v>
      </c>
      <c r="H14" t="s">
        <v>341</v>
      </c>
      <c r="J14" s="17" t="s">
        <v>15</v>
      </c>
      <c r="K14" s="19" t="s">
        <v>338</v>
      </c>
      <c r="L14" s="17" t="s">
        <v>62</v>
      </c>
      <c r="M14" s="17" t="str">
        <f ca="1"/>
        <v>UNKNOWN</v>
      </c>
      <c r="N14" s="17" t="s">
        <v>15</v>
      </c>
      <c r="O14" s="13" t="str">
        <f ca="1"/>
        <v/>
      </c>
      <c r="P14" s="13" t="str">
        <f ca="1"/>
        <v/>
      </c>
      <c r="Q14" s="13" t="str">
        <f ca="1"/>
        <v/>
      </c>
      <c r="R14" s="17" t="str">
        <f ca="1"/>
        <v/>
      </c>
      <c r="S14" t="str">
        <f ca="1"/>
        <v/>
      </c>
      <c r="T14" s="20" t="str">
        <v/>
      </c>
    </row>
    <row r="15" spans="1:20" ht="12.75">
      <c r="A15" s="11" t="str">
        <v>UPDATE DETAILS</v>
      </c>
      <c r="B15" s="11" t="str">
        <v>SET SCHEDULE</v>
      </c>
      <c r="D15" s="17" t="s">
        <v>496</v>
      </c>
      <c r="E15" s="17" t="s">
        <v>499</v>
      </c>
      <c r="F15" s="17" t="s">
        <v>505</v>
      </c>
      <c r="G15" t="str">
        <v xml:space="preserve">1305 York Ave - 4th Floor - Kumar, Sonal - </v>
      </c>
      <c r="H15" t="s">
        <v>342</v>
      </c>
      <c r="J15" s="17" t="s">
        <v>15</v>
      </c>
      <c r="K15" s="19" t="s">
        <v>343</v>
      </c>
      <c r="L15" s="17" t="s">
        <v>62</v>
      </c>
      <c r="M15" s="17" t="str">
        <f ca="1"/>
        <v>UNKNOWN</v>
      </c>
      <c r="N15" s="17" t="s">
        <v>15</v>
      </c>
      <c r="O15" s="13" t="str">
        <f ca="1"/>
        <v/>
      </c>
      <c r="P15" s="13" t="str">
        <f ca="1"/>
        <v/>
      </c>
      <c r="Q15" s="13" t="str">
        <f ca="1"/>
        <v/>
      </c>
      <c r="R15" s="17" t="str">
        <f ca="1"/>
        <v/>
      </c>
      <c r="S15" t="str">
        <f ca="1"/>
        <v/>
      </c>
      <c r="T15" s="20" t="str">
        <v/>
      </c>
    </row>
    <row r="16" spans="1:20" ht="12.75">
      <c r="A16" s="11" t="str">
        <v>UPDATE DETAILS</v>
      </c>
      <c r="B16" s="11" t="str">
        <v>SET SCHEDULE</v>
      </c>
      <c r="D16" s="17" t="s">
        <v>496</v>
      </c>
      <c r="E16" s="17" t="s">
        <v>499</v>
      </c>
      <c r="F16" s="17" t="s">
        <v>506</v>
      </c>
      <c r="G16" t="str">
        <v xml:space="preserve">1305 York Ave - 4th Floor - Reem, Shariaha - </v>
      </c>
      <c r="H16" t="s">
        <v>344</v>
      </c>
      <c r="J16" s="17" t="s">
        <v>15</v>
      </c>
      <c r="K16" s="19" t="s">
        <v>340</v>
      </c>
      <c r="L16" s="17" t="s">
        <v>62</v>
      </c>
      <c r="M16" s="17" t="str">
        <f ca="1"/>
        <v>UNKNOWN</v>
      </c>
      <c r="N16" s="17" t="s">
        <v>15</v>
      </c>
      <c r="O16" s="13" t="str">
        <f ca="1"/>
        <v/>
      </c>
      <c r="P16" s="13" t="str">
        <f ca="1"/>
        <v/>
      </c>
      <c r="Q16" s="13" t="str">
        <f ca="1"/>
        <v/>
      </c>
      <c r="R16" s="17" t="str">
        <f ca="1"/>
        <v/>
      </c>
      <c r="S16" t="str">
        <f ca="1"/>
        <v/>
      </c>
      <c r="T16" s="20" t="str">
        <v/>
      </c>
    </row>
    <row r="17" spans="1:20" ht="12.75">
      <c r="A17" s="11" t="str">
        <v>UPDATE DETAILS</v>
      </c>
      <c r="B17" s="11" t="str">
        <v>SET SCHEDULE</v>
      </c>
      <c r="D17" s="17" t="s">
        <v>496</v>
      </c>
      <c r="E17" s="17" t="s">
        <v>499</v>
      </c>
      <c r="F17" s="17" t="s">
        <v>507</v>
      </c>
      <c r="G17" t="str">
        <v xml:space="preserve">1305 York Ave - 4th Floor - Vielemeyer, Ole - </v>
      </c>
      <c r="H17" t="s">
        <v>345</v>
      </c>
      <c r="J17" s="17" t="s">
        <v>15</v>
      </c>
      <c r="K17" s="19" t="s">
        <v>346</v>
      </c>
      <c r="L17" s="17" t="s">
        <v>62</v>
      </c>
      <c r="M17" s="17" t="str">
        <f ca="1"/>
        <v>UNKNOWN</v>
      </c>
      <c r="N17" s="17" t="s">
        <v>15</v>
      </c>
      <c r="O17" s="13" t="str">
        <f ca="1"/>
        <v/>
      </c>
      <c r="P17" s="13" t="str">
        <f ca="1"/>
        <v/>
      </c>
      <c r="Q17" s="13" t="str">
        <f ca="1"/>
        <v/>
      </c>
      <c r="R17" s="17" t="str">
        <f ca="1"/>
        <v/>
      </c>
      <c r="S17" t="str">
        <f ca="1"/>
        <v/>
      </c>
      <c r="T17" s="20" t="str">
        <v/>
      </c>
    </row>
    <row r="18" spans="1:20" ht="12.75">
      <c r="A18" s="11" t="str">
        <v>UPDATE DETAILS</v>
      </c>
      <c r="B18" s="11" t="str">
        <v>SET SCHEDULE</v>
      </c>
      <c r="D18" s="17" t="s">
        <v>496</v>
      </c>
      <c r="E18" s="17" t="s">
        <v>499</v>
      </c>
      <c r="F18" s="17" t="s">
        <v>508</v>
      </c>
      <c r="G18" t="str">
        <v xml:space="preserve">1305 York Ave - 4th Floor - Wan, David - </v>
      </c>
      <c r="H18" t="s">
        <v>347</v>
      </c>
      <c r="J18" s="17" t="s">
        <v>15</v>
      </c>
      <c r="K18" s="19" t="s">
        <v>340</v>
      </c>
      <c r="L18" s="17" t="s">
        <v>62</v>
      </c>
      <c r="M18" s="17" t="str">
        <f ca="1"/>
        <v>UNKNOWN</v>
      </c>
      <c r="N18" s="17" t="s">
        <v>15</v>
      </c>
      <c r="O18" s="13" t="str">
        <f ca="1"/>
        <v/>
      </c>
      <c r="P18" s="13" t="str">
        <f ca="1"/>
        <v/>
      </c>
      <c r="Q18" s="13" t="str">
        <f ca="1"/>
        <v/>
      </c>
      <c r="R18" s="17" t="str">
        <f ca="1"/>
        <v/>
      </c>
      <c r="S18" t="str">
        <f ca="1"/>
        <v/>
      </c>
      <c r="T18" s="20" t="str">
        <v/>
      </c>
    </row>
    <row r="19" spans="1:20" ht="12.75">
      <c r="A19" s="11" t="str">
        <v>UPDATE DETAILS</v>
      </c>
      <c r="B19" s="11" t="str">
        <v>SET SCHEDULE</v>
      </c>
      <c r="D19" s="17" t="s">
        <v>496</v>
      </c>
      <c r="E19" s="17" t="s">
        <v>499</v>
      </c>
      <c r="F19" s="17" t="s">
        <v>509</v>
      </c>
      <c r="G19" t="str">
        <v xml:space="preserve">1305 York Ave - 4th Floor - Weinberg, Ethan - </v>
      </c>
      <c r="H19" t="s">
        <v>348</v>
      </c>
      <c r="J19" s="17" t="s">
        <v>15</v>
      </c>
      <c r="K19" s="19" t="s">
        <v>349</v>
      </c>
      <c r="L19" s="17" t="s">
        <v>62</v>
      </c>
      <c r="M19" s="17" t="str">
        <f ca="1"/>
        <v>UNKNOWN</v>
      </c>
      <c r="N19" s="17" t="s">
        <v>15</v>
      </c>
      <c r="O19" s="13" t="str">
        <f ca="1"/>
        <v/>
      </c>
      <c r="P19" s="13" t="str">
        <f ca="1"/>
        <v/>
      </c>
      <c r="Q19" s="13" t="str">
        <f ca="1"/>
        <v/>
      </c>
      <c r="R19" s="17" t="str">
        <f ca="1"/>
        <v/>
      </c>
      <c r="S19" t="str">
        <f ca="1"/>
        <v/>
      </c>
      <c r="T19" s="20" t="str">
        <v/>
      </c>
    </row>
    <row r="20" spans="1:20" ht="12.75">
      <c r="A20" s="11" t="str">
        <v>UPDATE DETAILS</v>
      </c>
      <c r="B20" s="11" t="str">
        <v>SET SCHEDULE</v>
      </c>
      <c r="D20" s="17" t="s">
        <v>496</v>
      </c>
      <c r="E20" s="17" t="s">
        <v>510</v>
      </c>
      <c r="F20" s="17" t="s">
        <v>492</v>
      </c>
      <c r="G20" t="str">
        <v xml:space="preserve">1305 York Ave - ENT - [OFFICE] - </v>
      </c>
      <c r="H20" t="s">
        <v>150</v>
      </c>
      <c r="J20" s="17" t="s">
        <v>15</v>
      </c>
      <c r="K20" s="19" t="s">
        <v>151</v>
      </c>
      <c r="L20" s="17" t="s">
        <v>57</v>
      </c>
      <c r="M20" s="17" t="str">
        <f ca="1"/>
        <v>UNKNOWN</v>
      </c>
      <c r="N20" s="17" t="s">
        <v>15</v>
      </c>
      <c r="O20" s="13" t="str">
        <f ca="1"/>
        <v/>
      </c>
      <c r="P20" s="13" t="str">
        <f ca="1"/>
        <v/>
      </c>
      <c r="Q20" s="13" t="str">
        <f ca="1"/>
        <v/>
      </c>
      <c r="R20" s="17" t="str">
        <f ca="1"/>
        <v/>
      </c>
      <c r="S20" t="str">
        <f ca="1"/>
        <v/>
      </c>
      <c r="T20" s="20" t="str">
        <v/>
      </c>
    </row>
    <row r="21" spans="1:20" ht="12.75">
      <c r="A21" s="11" t="str">
        <v>UPDATE DETAILS</v>
      </c>
      <c r="B21" s="11" t="str">
        <v>SET SCHEDULE</v>
      </c>
      <c r="D21" s="17" t="s">
        <v>496</v>
      </c>
      <c r="E21" s="17" t="s">
        <v>510</v>
      </c>
      <c r="F21" s="17" t="s">
        <v>511</v>
      </c>
      <c r="G21" t="str">
        <v xml:space="preserve">1305 York Ave - ENT - Alexiades, George - </v>
      </c>
      <c r="H21" t="s">
        <v>152</v>
      </c>
      <c r="J21" s="17" t="s">
        <v>15</v>
      </c>
      <c r="K21" s="19" t="s">
        <v>151</v>
      </c>
      <c r="L21" s="17" t="s">
        <v>57</v>
      </c>
      <c r="M21" s="17" t="str">
        <f ca="1"/>
        <v>UNKNOWN</v>
      </c>
      <c r="N21" s="17" t="s">
        <v>15</v>
      </c>
      <c r="O21" s="13" t="str">
        <f ca="1"/>
        <v/>
      </c>
      <c r="P21" s="13" t="str">
        <f ca="1"/>
        <v/>
      </c>
      <c r="Q21" s="13" t="str">
        <f ca="1"/>
        <v/>
      </c>
      <c r="R21" s="17" t="str">
        <f ca="1"/>
        <v/>
      </c>
      <c r="S21" t="str">
        <f ca="1"/>
        <v/>
      </c>
      <c r="T21" s="20" t="str">
        <v/>
      </c>
    </row>
    <row r="22" spans="1:20" ht="12.75">
      <c r="A22" s="11" t="str">
        <v>UPDATE DETAILS</v>
      </c>
      <c r="B22" s="11" t="str">
        <v>SET SCHEDULE</v>
      </c>
      <c r="D22" s="17" t="s">
        <v>496</v>
      </c>
      <c r="E22" s="17" t="s">
        <v>510</v>
      </c>
      <c r="F22" s="17" t="s">
        <v>512</v>
      </c>
      <c r="G22" t="str">
        <v xml:space="preserve">1305 York Ave - ENT - Sadoughie, Babak - </v>
      </c>
      <c r="H22" t="s">
        <v>153</v>
      </c>
      <c r="J22" s="17" t="s">
        <v>15</v>
      </c>
      <c r="K22" s="19" t="s">
        <v>151</v>
      </c>
      <c r="L22" s="17" t="s">
        <v>57</v>
      </c>
      <c r="M22" s="17" t="str">
        <f ca="1"/>
        <v>UNKNOWN</v>
      </c>
      <c r="N22" s="17" t="s">
        <v>15</v>
      </c>
      <c r="O22" s="13" t="str">
        <f ca="1"/>
        <v/>
      </c>
      <c r="P22" s="13" t="str">
        <f ca="1"/>
        <v/>
      </c>
      <c r="Q22" s="13" t="str">
        <f ca="1"/>
        <v/>
      </c>
      <c r="R22" s="17" t="str">
        <f ca="1"/>
        <v/>
      </c>
      <c r="S22" t="str">
        <f ca="1"/>
        <v/>
      </c>
      <c r="T22" s="20" t="str">
        <v/>
      </c>
    </row>
    <row r="23" spans="1:20" ht="12.75">
      <c r="A23" s="11" t="str">
        <v>UPDATE DETAILS</v>
      </c>
      <c r="B23" s="11" t="str">
        <v>SET SCHEDULE</v>
      </c>
      <c r="D23" s="17" t="s">
        <v>496</v>
      </c>
      <c r="E23" s="17" t="s">
        <v>510</v>
      </c>
      <c r="F23" s="17" t="s">
        <v>513</v>
      </c>
      <c r="G23" t="str">
        <v xml:space="preserve">1305 York Ave - ENT - Tabee, Abtin - </v>
      </c>
      <c r="H23" t="s">
        <v>154</v>
      </c>
      <c r="J23" s="17" t="s">
        <v>15</v>
      </c>
      <c r="K23" s="19" t="s">
        <v>151</v>
      </c>
      <c r="L23" s="17" t="s">
        <v>57</v>
      </c>
      <c r="M23" s="17" t="str">
        <f ca="1"/>
        <v>UNKNOWN</v>
      </c>
      <c r="N23" s="17" t="s">
        <v>15</v>
      </c>
      <c r="O23" s="13" t="str">
        <f ca="1"/>
        <v/>
      </c>
      <c r="P23" s="13" t="str">
        <f ca="1"/>
        <v/>
      </c>
      <c r="Q23" s="13" t="str">
        <f ca="1"/>
        <v/>
      </c>
      <c r="R23" s="17" t="str">
        <f ca="1"/>
        <v/>
      </c>
      <c r="S23" t="str">
        <f ca="1"/>
        <v/>
      </c>
      <c r="T23" s="20" t="str">
        <v/>
      </c>
    </row>
    <row r="24" spans="1:20" ht="12.75">
      <c r="A24" s="11" t="str">
        <v>UPDATE DETAILS</v>
      </c>
      <c r="B24" s="11" t="str">
        <v>SET SCHEDULE</v>
      </c>
      <c r="D24" s="17" t="s">
        <v>496</v>
      </c>
      <c r="E24" s="17" t="s">
        <v>514</v>
      </c>
      <c r="G24" t="str">
        <v xml:space="preserve">1305 York Ave - IVF (6th Floor) - </v>
      </c>
      <c r="H24" t="s">
        <v>92</v>
      </c>
      <c r="J24" s="17" t="s">
        <v>15</v>
      </c>
      <c r="K24" s="19" t="s">
        <v>93</v>
      </c>
      <c r="L24" s="17" t="s">
        <v>48</v>
      </c>
      <c r="M24" s="17" t="str">
        <f ca="1"/>
        <v>UNKNOWN</v>
      </c>
      <c r="N24" s="17" t="s">
        <v>15</v>
      </c>
      <c r="O24" s="21" t="str">
        <f ca="1"/>
        <v/>
      </c>
      <c r="P24" s="21" t="str">
        <f ca="1"/>
        <v/>
      </c>
      <c r="Q24" s="21" t="str">
        <f ca="1"/>
        <v/>
      </c>
      <c r="R24" s="17" t="str">
        <f ca="1"/>
        <v/>
      </c>
      <c r="S24" s="17" t="str">
        <f ca="1"/>
        <v/>
      </c>
      <c r="T24" s="20" t="str">
        <v/>
      </c>
    </row>
    <row r="25" spans="1:20" ht="12.75">
      <c r="A25" s="11" t="str">
        <v>UPDATE DETAILS</v>
      </c>
      <c r="B25" s="11" t="str">
        <v>SET SCHEDULE</v>
      </c>
      <c r="D25" s="17" t="s">
        <v>515</v>
      </c>
      <c r="F25" s="17" t="s">
        <v>516</v>
      </c>
      <c r="G25" t="str">
        <v xml:space="preserve">1315 York Ave - Alfons, Pomp - </v>
      </c>
      <c r="H25" t="s">
        <v>350</v>
      </c>
      <c r="J25" s="17" t="s">
        <v>15</v>
      </c>
      <c r="K25" s="19" t="s">
        <v>351</v>
      </c>
      <c r="L25" s="17" t="s">
        <v>62</v>
      </c>
      <c r="M25" s="17" t="str">
        <f ca="1"/>
        <v>UNKNOWN</v>
      </c>
      <c r="N25" s="17" t="s">
        <v>15</v>
      </c>
      <c r="O25" s="13" t="str">
        <f ca="1"/>
        <v/>
      </c>
      <c r="P25" s="13" t="str">
        <f ca="1"/>
        <v/>
      </c>
      <c r="Q25" s="13" t="str">
        <f ca="1"/>
        <v/>
      </c>
      <c r="R25" s="17" t="str">
        <f ca="1"/>
        <v/>
      </c>
      <c r="S25" t="str">
        <f ca="1"/>
        <v/>
      </c>
      <c r="T25" s="20" t="str">
        <v/>
      </c>
    </row>
    <row r="26" spans="1:20" ht="12.75">
      <c r="A26" s="11" t="str">
        <v>UPDATE DETAILS</v>
      </c>
      <c r="B26" s="11" t="str">
        <v>SET SCHEDULE</v>
      </c>
      <c r="D26" s="17" t="s">
        <v>515</v>
      </c>
      <c r="F26" s="17" t="s">
        <v>517</v>
      </c>
      <c r="G26" t="str">
        <v xml:space="preserve">1315 York Ave - Dakin, Gregory - </v>
      </c>
      <c r="H26" t="s">
        <v>352</v>
      </c>
      <c r="J26" s="17" t="s">
        <v>15</v>
      </c>
      <c r="K26" s="19" t="s">
        <v>351</v>
      </c>
      <c r="L26" s="17" t="s">
        <v>62</v>
      </c>
      <c r="M26" s="17" t="str">
        <f ca="1"/>
        <v>UNKNOWN</v>
      </c>
      <c r="N26" s="17" t="s">
        <v>15</v>
      </c>
      <c r="O26" s="13" t="str">
        <f ca="1"/>
        <v/>
      </c>
      <c r="P26" s="13" t="str">
        <f ca="1"/>
        <v/>
      </c>
      <c r="Q26" s="13" t="str">
        <f ca="1"/>
        <v/>
      </c>
      <c r="R26" s="17" t="str">
        <f ca="1"/>
        <v/>
      </c>
      <c r="S26" t="str">
        <f ca="1"/>
        <v/>
      </c>
      <c r="T26" s="20" t="str">
        <v/>
      </c>
    </row>
    <row r="27" spans="1:20" ht="12.75">
      <c r="A27" s="11" t="str">
        <v>UPDATE DETAILS</v>
      </c>
      <c r="B27" s="11" t="str">
        <v>SET SCHEDULE</v>
      </c>
      <c r="D27" s="17" t="s">
        <v>515</v>
      </c>
      <c r="F27" s="17" t="s">
        <v>518</v>
      </c>
      <c r="G27" t="str">
        <v xml:space="preserve">1315 York Ave - Steinlauf, Adam Franklin - </v>
      </c>
      <c r="H27" t="s">
        <v>353</v>
      </c>
      <c r="J27" s="17" t="s">
        <v>15</v>
      </c>
      <c r="K27" s="19" t="s">
        <v>354</v>
      </c>
      <c r="L27" s="17" t="s">
        <v>62</v>
      </c>
      <c r="M27" s="17" t="str">
        <f ca="1"/>
        <v>UNKNOWN</v>
      </c>
      <c r="N27" s="17" t="s">
        <v>15</v>
      </c>
      <c r="O27" s="13" t="str">
        <f ca="1"/>
        <v/>
      </c>
      <c r="P27" s="13" t="str">
        <f ca="1"/>
        <v/>
      </c>
      <c r="Q27" s="13" t="str">
        <f ca="1"/>
        <v/>
      </c>
      <c r="R27" s="17" t="str">
        <f ca="1"/>
        <v/>
      </c>
      <c r="S27" t="str">
        <f ca="1"/>
        <v/>
      </c>
      <c r="T27" s="20" t="str">
        <v/>
      </c>
    </row>
    <row r="28" spans="1:20" ht="12.75">
      <c r="A28" s="11" t="str">
        <v>UPDATE DETAILS</v>
      </c>
      <c r="B28" s="11" t="str">
        <v>SET SCHEDULE</v>
      </c>
      <c r="D28" s="17" t="s">
        <v>519</v>
      </c>
      <c r="E28" s="17" t="s">
        <v>520</v>
      </c>
      <c r="G28" t="str">
        <v xml:space="preserve">156/170 William St - OB/GYN - </v>
      </c>
      <c r="H28" t="s">
        <v>200</v>
      </c>
      <c r="J28" s="17" t="s">
        <v>15</v>
      </c>
      <c r="K28" s="19" t="s">
        <v>201</v>
      </c>
      <c r="L28" s="17" t="s">
        <v>202</v>
      </c>
      <c r="M28" s="17" t="str">
        <f ca="1"/>
        <v>UNKNOWN</v>
      </c>
      <c r="N28" s="17" t="s">
        <v>15</v>
      </c>
      <c r="O28" s="13" t="str">
        <f ca="1"/>
        <v/>
      </c>
      <c r="P28" s="13" t="str">
        <f ca="1"/>
        <v/>
      </c>
      <c r="Q28" s="13" t="str">
        <f ca="1"/>
        <v/>
      </c>
      <c r="R28" s="17" t="str">
        <f ca="1"/>
        <v/>
      </c>
      <c r="S28" t="str">
        <f ca="1"/>
        <v/>
      </c>
      <c r="T28" s="20" t="str">
        <v/>
      </c>
    </row>
    <row r="29" spans="1:20" ht="12.75">
      <c r="A29" s="11" t="str">
        <v>UPDATE DETAILS</v>
      </c>
      <c r="B29" s="11" t="str">
        <v>SET SCHEDULE</v>
      </c>
      <c r="D29" s="17" t="s">
        <v>521</v>
      </c>
      <c r="F29" s="17" t="s">
        <v>492</v>
      </c>
      <c r="G29" t="str">
        <v xml:space="preserve">21 W Broadway - [OFFICE] - </v>
      </c>
      <c r="H29" t="s">
        <v>155</v>
      </c>
      <c r="J29" s="17" t="s">
        <v>15</v>
      </c>
      <c r="K29" s="19" t="s">
        <v>156</v>
      </c>
      <c r="L29" s="17" t="s">
        <v>57</v>
      </c>
      <c r="M29" s="17" t="str">
        <f ca="1"/>
        <v>UNKNOWN</v>
      </c>
      <c r="N29" s="17" t="s">
        <v>15</v>
      </c>
      <c r="O29" s="13" t="str">
        <f ca="1"/>
        <v/>
      </c>
      <c r="P29" s="13" t="str">
        <f ca="1"/>
        <v/>
      </c>
      <c r="Q29" s="13" t="str">
        <f ca="1"/>
        <v/>
      </c>
      <c r="R29" s="17" t="str">
        <f ca="1"/>
        <v/>
      </c>
      <c r="S29" t="str">
        <f ca="1"/>
        <v/>
      </c>
      <c r="T29" s="20" t="str">
        <v/>
      </c>
    </row>
    <row r="30" spans="1:20" ht="12.75">
      <c r="A30" s="11" t="str">
        <v>UPDATE DETAILS</v>
      </c>
      <c r="B30" s="11" t="str">
        <v>SET SCHEDULE</v>
      </c>
      <c r="D30" s="17" t="s">
        <v>521</v>
      </c>
      <c r="F30" s="17" t="s">
        <v>522</v>
      </c>
      <c r="G30" t="str">
        <v xml:space="preserve">21 W Broadway - Barbieri, Christopher - </v>
      </c>
      <c r="H30" t="s">
        <v>157</v>
      </c>
      <c r="J30" s="17" t="s">
        <v>15</v>
      </c>
      <c r="K30" s="19" t="s">
        <v>158</v>
      </c>
      <c r="L30" s="17" t="s">
        <v>57</v>
      </c>
      <c r="M30" s="17" t="str">
        <f ca="1"/>
        <v>UNKNOWN</v>
      </c>
      <c r="N30" s="17" t="s">
        <v>15</v>
      </c>
      <c r="O30" s="13" t="str">
        <f ca="1"/>
        <v/>
      </c>
      <c r="P30" s="13" t="str">
        <f ca="1"/>
        <v/>
      </c>
      <c r="Q30" s="13" t="str">
        <f ca="1"/>
        <v/>
      </c>
      <c r="R30" s="17" t="str">
        <f ca="1"/>
        <v/>
      </c>
      <c r="S30" t="str">
        <f ca="1"/>
        <v/>
      </c>
      <c r="T30" s="20" t="str">
        <v/>
      </c>
    </row>
    <row r="31" spans="1:20" ht="12.75">
      <c r="A31" s="11" t="str">
        <v>UPDATE DETAILS</v>
      </c>
      <c r="B31" s="11" t="str">
        <v>SET SCHEDULE</v>
      </c>
      <c r="D31" s="17" t="s">
        <v>521</v>
      </c>
      <c r="F31" s="17" t="s">
        <v>523</v>
      </c>
      <c r="G31" t="str">
        <v xml:space="preserve">21 W Broadway - Farber, Leonard - </v>
      </c>
      <c r="H31" t="s">
        <v>159</v>
      </c>
      <c r="J31" s="17" t="s">
        <v>15</v>
      </c>
      <c r="K31" s="19" t="s">
        <v>156</v>
      </c>
      <c r="L31" s="17" t="s">
        <v>57</v>
      </c>
      <c r="M31" s="17" t="str">
        <f ca="1"/>
        <v>UNKNOWN</v>
      </c>
      <c r="N31" s="17" t="s">
        <v>15</v>
      </c>
      <c r="O31" s="13" t="str">
        <f ca="1"/>
        <v/>
      </c>
      <c r="P31" s="13" t="str">
        <f ca="1"/>
        <v/>
      </c>
      <c r="Q31" s="13" t="str">
        <f ca="1"/>
        <v/>
      </c>
      <c r="R31" s="17" t="str">
        <f ca="1"/>
        <v/>
      </c>
      <c r="S31" t="str">
        <f ca="1"/>
        <v/>
      </c>
      <c r="T31" s="20" t="str">
        <v/>
      </c>
    </row>
    <row r="32" spans="1:20" ht="12.75">
      <c r="A32" s="11" t="str">
        <v>UPDATE DETAILS</v>
      </c>
      <c r="B32" s="11" t="str">
        <v>SET SCHEDULE</v>
      </c>
      <c r="D32" s="17" t="s">
        <v>521</v>
      </c>
      <c r="F32" s="17" t="s">
        <v>524</v>
      </c>
      <c r="G32" t="str">
        <v xml:space="preserve">21 W Broadway - Fisher, Lauren - </v>
      </c>
      <c r="H32" t="s">
        <v>160</v>
      </c>
      <c r="J32" s="17" t="s">
        <v>15</v>
      </c>
      <c r="K32" s="19" t="s">
        <v>161</v>
      </c>
      <c r="L32" s="17" t="s">
        <v>57</v>
      </c>
      <c r="M32" s="17" t="str">
        <f ca="1"/>
        <v>UNKNOWN</v>
      </c>
      <c r="N32" s="17" t="s">
        <v>15</v>
      </c>
      <c r="O32" s="13" t="str">
        <f ca="1"/>
        <v/>
      </c>
      <c r="P32" s="13" t="str">
        <f ca="1"/>
        <v/>
      </c>
      <c r="Q32" s="13" t="str">
        <f ca="1"/>
        <v/>
      </c>
      <c r="R32" s="17" t="str">
        <f ca="1"/>
        <v/>
      </c>
      <c r="S32" t="str">
        <f ca="1"/>
        <v/>
      </c>
      <c r="T32" s="20" t="str">
        <v/>
      </c>
    </row>
    <row r="33" spans="1:20" ht="12.75">
      <c r="A33" s="11" t="str">
        <v>UPDATE DETAILS</v>
      </c>
      <c r="B33" s="11" t="str">
        <v>SET SCHEDULE</v>
      </c>
      <c r="D33" s="17" t="s">
        <v>521</v>
      </c>
      <c r="F33" s="17" t="s">
        <v>525</v>
      </c>
      <c r="G33" t="str">
        <v xml:space="preserve">21 W Broadway - Igel, Leon - </v>
      </c>
      <c r="H33" t="s">
        <v>203</v>
      </c>
      <c r="J33" s="17" t="s">
        <v>15</v>
      </c>
      <c r="K33" s="19" t="s">
        <v>204</v>
      </c>
      <c r="L33" s="17" t="s">
        <v>59</v>
      </c>
      <c r="M33" s="17" t="str">
        <f ca="1"/>
        <v>UNKNOWN</v>
      </c>
      <c r="N33" s="17" t="s">
        <v>15</v>
      </c>
      <c r="O33" s="13" t="str">
        <f ca="1"/>
        <v/>
      </c>
      <c r="P33" s="13" t="str">
        <f ca="1"/>
        <v/>
      </c>
      <c r="Q33" s="13" t="str">
        <f ca="1"/>
        <v/>
      </c>
      <c r="R33" s="17" t="str">
        <f ca="1"/>
        <v/>
      </c>
      <c r="S33" t="str">
        <f ca="1"/>
        <v/>
      </c>
      <c r="T33" s="20" t="str">
        <v/>
      </c>
    </row>
    <row r="34" spans="1:20" ht="12.75">
      <c r="A34" s="11" t="str">
        <v>UPDATE DETAILS</v>
      </c>
      <c r="B34" s="11" t="str">
        <v>SET SCHEDULE</v>
      </c>
      <c r="D34" s="17" t="s">
        <v>521</v>
      </c>
      <c r="F34" s="17" t="s">
        <v>526</v>
      </c>
      <c r="G34" t="str">
        <v xml:space="preserve">21 W Broadway - Kim, So-Young - </v>
      </c>
      <c r="H34" t="s">
        <v>205</v>
      </c>
      <c r="J34" s="17" t="s">
        <v>15</v>
      </c>
      <c r="K34" s="19" t="s">
        <v>206</v>
      </c>
      <c r="L34" s="17" t="s">
        <v>59</v>
      </c>
      <c r="M34" s="17" t="str">
        <f ca="1"/>
        <v>UNKNOWN</v>
      </c>
      <c r="N34" s="17" t="s">
        <v>15</v>
      </c>
      <c r="O34" s="13" t="str">
        <f ca="1"/>
        <v/>
      </c>
      <c r="P34" s="13" t="str">
        <f ca="1"/>
        <v/>
      </c>
      <c r="Q34" s="13" t="str">
        <f ca="1"/>
        <v/>
      </c>
      <c r="R34" s="17" t="str">
        <f ca="1"/>
        <v/>
      </c>
      <c r="S34" t="str">
        <f ca="1"/>
        <v/>
      </c>
      <c r="T34" s="20" t="str">
        <v/>
      </c>
    </row>
    <row r="35" spans="1:20" ht="12.75">
      <c r="A35" s="11" t="str">
        <v>UPDATE DETAILS</v>
      </c>
      <c r="B35" s="11" t="str">
        <v>SET SCHEDULE</v>
      </c>
      <c r="D35" s="17" t="s">
        <v>521</v>
      </c>
      <c r="F35" s="17" t="s">
        <v>527</v>
      </c>
      <c r="G35" t="str">
        <v xml:space="preserve">21 W Broadway - Leonard, Michael - </v>
      </c>
      <c r="H35" t="s">
        <v>162</v>
      </c>
      <c r="J35" s="17" t="s">
        <v>15</v>
      </c>
      <c r="K35" s="19" t="s">
        <v>163</v>
      </c>
      <c r="L35" s="17" t="s">
        <v>57</v>
      </c>
      <c r="M35" s="17" t="str">
        <f ca="1"/>
        <v>UNKNOWN</v>
      </c>
      <c r="N35" s="17" t="s">
        <v>15</v>
      </c>
      <c r="O35" s="13" t="str">
        <f ca="1"/>
        <v/>
      </c>
      <c r="P35" s="13" t="str">
        <f ca="1"/>
        <v/>
      </c>
      <c r="Q35" s="13" t="str">
        <f ca="1"/>
        <v/>
      </c>
      <c r="R35" s="17" t="str">
        <f ca="1"/>
        <v/>
      </c>
      <c r="S35" t="str">
        <f ca="1"/>
        <v/>
      </c>
      <c r="T35" s="20" t="str">
        <v/>
      </c>
    </row>
    <row r="36" spans="1:20" ht="12.75">
      <c r="A36" s="11" t="str">
        <v>UPDATE DETAILS</v>
      </c>
      <c r="B36" s="11" t="str">
        <v>SET SCHEDULE</v>
      </c>
      <c r="D36" s="17" t="s">
        <v>521</v>
      </c>
      <c r="F36" s="17" t="s">
        <v>528</v>
      </c>
      <c r="G36" t="str">
        <v xml:space="preserve">21 W Broadway - Libby, Laura - </v>
      </c>
      <c r="H36" t="s">
        <v>164</v>
      </c>
      <c r="J36" s="17" t="s">
        <v>15</v>
      </c>
      <c r="K36" s="19" t="s">
        <v>165</v>
      </c>
      <c r="L36" s="17" t="s">
        <v>57</v>
      </c>
      <c r="M36" s="17" t="str">
        <f ca="1"/>
        <v>UNKNOWN</v>
      </c>
      <c r="N36" s="17" t="s">
        <v>15</v>
      </c>
      <c r="O36" s="13" t="str">
        <f ca="1"/>
        <v/>
      </c>
      <c r="P36" s="13" t="str">
        <f ca="1"/>
        <v/>
      </c>
      <c r="Q36" s="13" t="str">
        <f ca="1"/>
        <v/>
      </c>
      <c r="R36" s="17" t="str">
        <f ca="1"/>
        <v/>
      </c>
      <c r="S36" t="str">
        <f ca="1"/>
        <v/>
      </c>
      <c r="T36" s="20" t="str">
        <v/>
      </c>
    </row>
    <row r="37" spans="1:20" ht="12.75">
      <c r="A37" s="11" t="str">
        <v>UPDATE DETAILS</v>
      </c>
      <c r="B37" s="11" t="str">
        <v>SET SCHEDULE</v>
      </c>
      <c r="D37" s="17" t="s">
        <v>521</v>
      </c>
      <c r="F37" s="17" t="s">
        <v>529</v>
      </c>
      <c r="G37" t="str">
        <v xml:space="preserve">21 W Broadway - Maresh, Alison - </v>
      </c>
      <c r="H37" t="s">
        <v>207</v>
      </c>
      <c r="J37" s="17" t="s">
        <v>15</v>
      </c>
      <c r="K37" s="19" t="s">
        <v>208</v>
      </c>
      <c r="L37" s="17" t="s">
        <v>59</v>
      </c>
      <c r="M37" s="17" t="str">
        <f ca="1"/>
        <v>UNKNOWN</v>
      </c>
      <c r="N37" s="17" t="s">
        <v>15</v>
      </c>
      <c r="O37" s="13" t="str">
        <f ca="1"/>
        <v/>
      </c>
      <c r="P37" s="13" t="str">
        <f ca="1"/>
        <v/>
      </c>
      <c r="Q37" s="13" t="str">
        <f ca="1"/>
        <v/>
      </c>
      <c r="R37" s="17" t="str">
        <f ca="1"/>
        <v/>
      </c>
      <c r="S37" s="17" t="str">
        <f ca="1"/>
        <v/>
      </c>
      <c r="T37" s="20" t="str">
        <v/>
      </c>
    </row>
    <row r="38" spans="1:20" ht="12.75">
      <c r="A38" s="11" t="str">
        <v>UPDATE DETAILS</v>
      </c>
      <c r="B38" s="11" t="str">
        <v>SET SCHEDULE</v>
      </c>
      <c r="D38" s="17" t="s">
        <v>521</v>
      </c>
      <c r="F38" s="17" t="s">
        <v>530</v>
      </c>
      <c r="G38" t="str">
        <v xml:space="preserve">21 W Broadway - McCarron, James - </v>
      </c>
      <c r="H38" t="s">
        <v>166</v>
      </c>
      <c r="J38" s="17" t="s">
        <v>15</v>
      </c>
      <c r="K38" s="19" t="s">
        <v>167</v>
      </c>
      <c r="L38" s="17" t="s">
        <v>57</v>
      </c>
      <c r="M38" s="17" t="str">
        <f ca="1"/>
        <v>UNKNOWN</v>
      </c>
      <c r="N38" s="17" t="s">
        <v>15</v>
      </c>
      <c r="O38" s="13" t="str">
        <f ca="1"/>
        <v/>
      </c>
      <c r="P38" s="13" t="str">
        <f ca="1"/>
        <v/>
      </c>
      <c r="Q38" s="13" t="str">
        <f ca="1"/>
        <v/>
      </c>
      <c r="R38" s="17" t="str">
        <f ca="1"/>
        <v/>
      </c>
      <c r="S38" t="str">
        <f ca="1"/>
        <v/>
      </c>
      <c r="T38" s="20" t="str">
        <v/>
      </c>
    </row>
    <row r="39" spans="1:20" ht="12.75">
      <c r="A39" s="11" t="str">
        <v>UPDATE DETAILS</v>
      </c>
      <c r="B39" s="11" t="str">
        <v>SET SCHEDULE</v>
      </c>
      <c r="D39" s="17" t="s">
        <v>521</v>
      </c>
      <c r="F39" s="17" t="s">
        <v>531</v>
      </c>
      <c r="G39" t="str">
        <v xml:space="preserve">21 W Broadway - Pecker, Mark S - </v>
      </c>
      <c r="H39" t="s">
        <v>209</v>
      </c>
      <c r="J39" s="17" t="s">
        <v>15</v>
      </c>
      <c r="K39" s="19" t="s">
        <v>210</v>
      </c>
      <c r="L39" s="17" t="s">
        <v>59</v>
      </c>
      <c r="M39" s="17" t="str">
        <f ca="1"/>
        <v>UNKNOWN</v>
      </c>
      <c r="N39" s="17" t="s">
        <v>15</v>
      </c>
      <c r="O39" s="13" t="str">
        <f ca="1"/>
        <v/>
      </c>
      <c r="P39" s="13" t="str">
        <f ca="1"/>
        <v/>
      </c>
      <c r="Q39" s="13" t="str">
        <f ca="1"/>
        <v/>
      </c>
      <c r="R39" s="17" t="str">
        <f ca="1"/>
        <v/>
      </c>
      <c r="S39" t="str">
        <f ca="1"/>
        <v/>
      </c>
      <c r="T39" s="20" t="str">
        <v/>
      </c>
    </row>
    <row r="40" spans="1:20" ht="12.75">
      <c r="A40" s="11" t="str">
        <v>UPDATE DETAILS</v>
      </c>
      <c r="B40" s="11" t="str">
        <v>SET SCHEDULE</v>
      </c>
      <c r="D40" s="17" t="s">
        <v>521</v>
      </c>
      <c r="F40" s="17" t="s">
        <v>532</v>
      </c>
      <c r="G40" t="str">
        <v xml:space="preserve">21 W Broadway - Reiger, Jill - </v>
      </c>
      <c r="H40" t="s">
        <v>211</v>
      </c>
      <c r="J40" s="17" t="s">
        <v>15</v>
      </c>
      <c r="K40" s="19" t="s">
        <v>212</v>
      </c>
      <c r="L40" s="17" t="s">
        <v>59</v>
      </c>
      <c r="M40" s="17" t="str">
        <f ca="1"/>
        <v>UNKNOWN</v>
      </c>
      <c r="N40" s="17" t="s">
        <v>15</v>
      </c>
      <c r="O40" s="13" t="str">
        <f ca="1"/>
        <v/>
      </c>
      <c r="P40" s="13" t="str">
        <f ca="1"/>
        <v/>
      </c>
      <c r="Q40" s="13" t="str">
        <f ca="1"/>
        <v/>
      </c>
      <c r="R40" s="17" t="str">
        <f ca="1"/>
        <v/>
      </c>
      <c r="S40" t="str">
        <f ca="1"/>
        <v/>
      </c>
      <c r="T40" s="20" t="str">
        <v/>
      </c>
    </row>
    <row r="41" spans="1:20" ht="12.75">
      <c r="A41" s="11" t="str">
        <v>UPDATE DETAILS</v>
      </c>
      <c r="B41" s="11" t="str">
        <v>SET SCHEDULE</v>
      </c>
      <c r="D41" s="17" t="s">
        <v>521</v>
      </c>
      <c r="F41" s="17" t="s">
        <v>533</v>
      </c>
      <c r="G41" t="str">
        <v xml:space="preserve">21 W Broadway - Smith, Michael - </v>
      </c>
      <c r="H41" t="s">
        <v>168</v>
      </c>
      <c r="J41" s="17" t="s">
        <v>15</v>
      </c>
      <c r="K41" s="19" t="s">
        <v>156</v>
      </c>
      <c r="L41" s="17" t="s">
        <v>57</v>
      </c>
      <c r="M41" s="17" t="str">
        <f ca="1"/>
        <v>UNKNOWN</v>
      </c>
      <c r="N41" s="17" t="s">
        <v>15</v>
      </c>
      <c r="O41" s="13" t="str">
        <f ca="1"/>
        <v/>
      </c>
      <c r="P41" s="13" t="str">
        <f ca="1"/>
        <v/>
      </c>
      <c r="Q41" s="13" t="str">
        <f ca="1"/>
        <v/>
      </c>
      <c r="R41" s="17" t="str">
        <f ca="1"/>
        <v/>
      </c>
      <c r="S41" t="str">
        <f ca="1"/>
        <v/>
      </c>
      <c r="T41" s="20" t="str">
        <v/>
      </c>
    </row>
    <row r="42" spans="1:20" ht="12.75">
      <c r="A42" s="11" t="str">
        <v>UPDATE DETAILS</v>
      </c>
      <c r="B42" s="11" t="str">
        <v>SET SCHEDULE</v>
      </c>
      <c r="D42" s="17" t="s">
        <v>521</v>
      </c>
      <c r="F42" s="17" t="s">
        <v>534</v>
      </c>
      <c r="G42" t="str">
        <v xml:space="preserve">21 W Broadway - Wun. Herrick - </v>
      </c>
      <c r="H42" t="s">
        <v>169</v>
      </c>
      <c r="J42" s="17" t="s">
        <v>15</v>
      </c>
      <c r="K42" s="19" t="s">
        <v>170</v>
      </c>
      <c r="L42" s="17" t="s">
        <v>57</v>
      </c>
      <c r="M42" s="17" t="str">
        <f ca="1"/>
        <v>UNKNOWN</v>
      </c>
      <c r="N42" s="17" t="s">
        <v>15</v>
      </c>
      <c r="O42" s="13" t="str">
        <f ca="1"/>
        <v/>
      </c>
      <c r="P42" s="13" t="str">
        <f ca="1"/>
        <v/>
      </c>
      <c r="Q42" s="13" t="str">
        <f ca="1"/>
        <v/>
      </c>
      <c r="R42" s="17" t="str">
        <f ca="1"/>
        <v/>
      </c>
      <c r="S42" t="str">
        <f ca="1"/>
        <v/>
      </c>
      <c r="T42" s="20" t="str">
        <v/>
      </c>
    </row>
    <row r="43" spans="1:20" ht="12.75">
      <c r="A43" s="11" t="str">
        <v>UPDATE DETAILS</v>
      </c>
      <c r="B43" s="11" t="str">
        <v>SET SCHEDULE</v>
      </c>
      <c r="D43" s="17" t="s">
        <v>535</v>
      </c>
      <c r="E43" s="17" t="s">
        <v>536</v>
      </c>
      <c r="G43" t="str">
        <v xml:space="preserve">211 E 80th St - INTER MED - </v>
      </c>
      <c r="H43" t="s">
        <v>241</v>
      </c>
      <c r="J43" s="17" t="s">
        <v>15</v>
      </c>
      <c r="K43" s="19" t="s">
        <v>242</v>
      </c>
      <c r="L43" s="17" t="s">
        <v>45</v>
      </c>
      <c r="M43" s="17" t="str">
        <f ca="1"/>
        <v>UNKNOWN</v>
      </c>
      <c r="N43" s="17" t="s">
        <v>15</v>
      </c>
      <c r="O43" s="13" t="str">
        <f ca="1"/>
        <v/>
      </c>
      <c r="P43" s="13" t="str">
        <f ca="1"/>
        <v/>
      </c>
      <c r="Q43" s="13" t="str">
        <f ca="1"/>
        <v/>
      </c>
      <c r="R43" s="17" t="str">
        <f ca="1"/>
        <v/>
      </c>
      <c r="S43" t="str">
        <f ca="1"/>
        <v/>
      </c>
      <c r="T43" s="20" t="str">
        <v/>
      </c>
    </row>
    <row r="44" spans="1:20" ht="12.75">
      <c r="A44" s="11" t="str">
        <v>UPDATE DETAILS</v>
      </c>
      <c r="B44" s="11" t="str">
        <v>SET SCHEDULE</v>
      </c>
      <c r="D44" s="17" t="s">
        <v>535</v>
      </c>
      <c r="E44" s="17" t="s">
        <v>536</v>
      </c>
      <c r="F44" s="17" t="s">
        <v>537</v>
      </c>
      <c r="G44" t="str">
        <v xml:space="preserve">211 E 80th St - INTER MED - Collier, Trenton - </v>
      </c>
      <c r="H44" t="s">
        <v>243</v>
      </c>
      <c r="J44" s="17" t="s">
        <v>15</v>
      </c>
      <c r="K44" s="19" t="s">
        <v>242</v>
      </c>
      <c r="L44" s="17" t="s">
        <v>45</v>
      </c>
      <c r="M44" s="17" t="str">
        <f ca="1"/>
        <v>UNKNOWN</v>
      </c>
      <c r="N44" s="17" t="s">
        <v>15</v>
      </c>
      <c r="O44" s="13" t="str">
        <f ca="1"/>
        <v/>
      </c>
      <c r="P44" s="13" t="str">
        <f ca="1"/>
        <v/>
      </c>
      <c r="Q44" s="13" t="str">
        <f ca="1"/>
        <v/>
      </c>
      <c r="R44" s="17" t="str">
        <f ca="1"/>
        <v/>
      </c>
      <c r="S44" t="str">
        <f ca="1"/>
        <v/>
      </c>
      <c r="T44" s="20" t="str">
        <v/>
      </c>
    </row>
    <row r="45" spans="1:20" ht="12.75">
      <c r="A45" s="11" t="str">
        <v>UPDATE DETAILS</v>
      </c>
      <c r="B45" s="11" t="str">
        <v>SET SCHEDULE</v>
      </c>
      <c r="D45" s="17" t="s">
        <v>535</v>
      </c>
      <c r="E45" s="17" t="s">
        <v>536</v>
      </c>
      <c r="F45" s="17" t="s">
        <v>538</v>
      </c>
      <c r="G45" t="str">
        <v xml:space="preserve">211 E 80th St - INTER MED - Gingras, Laura - </v>
      </c>
      <c r="H45" t="s">
        <v>244</v>
      </c>
      <c r="J45" s="17" t="s">
        <v>15</v>
      </c>
      <c r="K45" s="19" t="s">
        <v>242</v>
      </c>
      <c r="L45" s="17" t="s">
        <v>45</v>
      </c>
      <c r="M45" s="17" t="str">
        <f ca="1"/>
        <v>UNKNOWN</v>
      </c>
      <c r="N45" s="17" t="s">
        <v>15</v>
      </c>
      <c r="O45" s="13" t="str">
        <f ca="1"/>
        <v/>
      </c>
      <c r="P45" s="13" t="str">
        <f ca="1"/>
        <v/>
      </c>
      <c r="Q45" s="13" t="str">
        <f ca="1"/>
        <v/>
      </c>
      <c r="R45" s="17" t="str">
        <f ca="1"/>
        <v/>
      </c>
      <c r="S45" t="str">
        <f ca="1"/>
        <v/>
      </c>
      <c r="T45" s="20" t="str">
        <v/>
      </c>
    </row>
    <row r="46" spans="1:20" ht="12.75">
      <c r="A46" s="11" t="str">
        <v>UPDATE DETAILS</v>
      </c>
      <c r="B46" s="11" t="str">
        <v>SET SCHEDULE</v>
      </c>
      <c r="D46" s="17" t="s">
        <v>539</v>
      </c>
      <c r="E46" s="17" t="s">
        <v>540</v>
      </c>
      <c r="G46" t="str">
        <v xml:space="preserve">215 East 85th Street - OB-GYN - INTERNAL MED - </v>
      </c>
      <c r="H46" t="s">
        <v>230</v>
      </c>
      <c r="J46" s="17" t="s">
        <v>15</v>
      </c>
      <c r="K46" s="19">
        <v>17326</v>
      </c>
      <c r="L46" s="17" t="s">
        <v>54</v>
      </c>
      <c r="M46" s="17" t="str">
        <f ca="1"/>
        <v>UNKNOWN</v>
      </c>
      <c r="N46" s="17" t="s">
        <v>15</v>
      </c>
      <c r="O46" s="13" t="str">
        <f ca="1"/>
        <v/>
      </c>
      <c r="P46" s="13" t="str">
        <f ca="1"/>
        <v/>
      </c>
      <c r="Q46" s="13" t="str">
        <f ca="1"/>
        <v/>
      </c>
      <c r="R46" s="17" t="str">
        <f ca="1"/>
        <v/>
      </c>
      <c r="S46" s="17" t="str">
        <f ca="1"/>
        <v/>
      </c>
      <c r="T46" s="20" t="str">
        <v/>
      </c>
    </row>
    <row r="47" spans="1:20" ht="12.75">
      <c r="A47" s="11" t="str">
        <v>UPDATE DETAILS</v>
      </c>
      <c r="B47" s="11" t="str">
        <v>SET SCHEDULE</v>
      </c>
      <c r="D47" s="17" t="s">
        <v>539</v>
      </c>
      <c r="E47" s="17" t="s">
        <v>490</v>
      </c>
      <c r="G47" t="str">
        <v xml:space="preserve">215 East 85th Street - PEDS - </v>
      </c>
      <c r="H47" t="s">
        <v>121</v>
      </c>
      <c r="J47" s="17" t="s">
        <v>15</v>
      </c>
      <c r="K47" s="19">
        <v>17347</v>
      </c>
      <c r="L47" s="17" t="s">
        <v>60</v>
      </c>
      <c r="M47" s="17" t="str">
        <f ca="1"/>
        <v>UNKNOWN</v>
      </c>
      <c r="N47" s="17" t="s">
        <v>15</v>
      </c>
      <c r="O47" s="13" t="str">
        <f ca="1"/>
        <v/>
      </c>
      <c r="P47" s="13" t="str">
        <f ca="1"/>
        <v/>
      </c>
      <c r="Q47" s="13" t="str">
        <f ca="1"/>
        <v/>
      </c>
      <c r="R47" s="17" t="str">
        <f ca="1"/>
        <v/>
      </c>
      <c r="S47" t="str">
        <f ca="1"/>
        <v/>
      </c>
      <c r="T47" s="20" t="str">
        <v/>
      </c>
    </row>
    <row r="48" spans="1:20" ht="12.75">
      <c r="A48" s="11" t="str">
        <v>UPDATE DETAILS</v>
      </c>
      <c r="B48" s="11" t="str">
        <v>SET SCHEDULE</v>
      </c>
      <c r="D48" s="17" t="s">
        <v>541</v>
      </c>
      <c r="E48" s="17" t="s">
        <v>542</v>
      </c>
      <c r="G48" t="str">
        <v xml:space="preserve">310 East 72nd - LAB - </v>
      </c>
      <c r="H48" t="s">
        <v>11</v>
      </c>
      <c r="J48" s="17" t="s">
        <v>15</v>
      </c>
      <c r="K48" s="19" t="s">
        <v>12</v>
      </c>
      <c r="L48" s="17" t="s">
        <v>13</v>
      </c>
      <c r="M48" s="17" t="str">
        <f ca="1"/>
        <v>UNKNOWN</v>
      </c>
      <c r="N48" s="17" t="s">
        <v>15</v>
      </c>
      <c r="O48" s="13" t="str">
        <f ca="1"/>
        <v/>
      </c>
      <c r="P48" s="13" t="str">
        <f ca="1"/>
        <v/>
      </c>
      <c r="Q48" s="13" t="str">
        <f ca="1"/>
        <v/>
      </c>
      <c r="R48" s="17" t="str">
        <f ca="1"/>
        <v/>
      </c>
      <c r="S48" t="str">
        <f ca="1"/>
        <v/>
      </c>
      <c r="T48" s="20" t="str">
        <v/>
      </c>
    </row>
    <row r="49" spans="1:20" ht="12.75">
      <c r="A49" s="11" t="str">
        <v>UPDATE DETAILS</v>
      </c>
      <c r="B49" s="11" t="str">
        <v>SET SCHEDULE</v>
      </c>
      <c r="C49" s="17"/>
      <c r="D49" s="17" t="s">
        <v>541</v>
      </c>
      <c r="E49" s="17" t="s">
        <v>543</v>
      </c>
      <c r="F49" s="17"/>
      <c r="G49" t="str">
        <v xml:space="preserve">310 East 72nd - PHYSICIANS - </v>
      </c>
      <c r="H49" t="s">
        <v>18</v>
      </c>
      <c r="I49" s="17"/>
      <c r="J49" s="17" t="s">
        <v>15</v>
      </c>
      <c r="K49" s="19" t="s">
        <v>19</v>
      </c>
      <c r="L49" s="17" t="s">
        <v>13</v>
      </c>
      <c r="M49" s="17" t="str">
        <f ca="1"/>
        <v>UNKNOWN</v>
      </c>
      <c r="N49" s="17" t="s">
        <v>15</v>
      </c>
      <c r="O49" s="13" t="str">
        <f ca="1"/>
        <v/>
      </c>
      <c r="P49" s="13" t="str">
        <f ca="1"/>
        <v/>
      </c>
      <c r="Q49" s="13" t="str">
        <f ca="1"/>
        <v/>
      </c>
      <c r="R49" s="17" t="str">
        <f ca="1"/>
        <v/>
      </c>
      <c r="S49" s="17" t="str">
        <f ca="1"/>
        <v/>
      </c>
      <c r="T49" s="20" t="str">
        <v/>
      </c>
    </row>
    <row r="50" spans="1:20" ht="12.75">
      <c r="A50" s="11" t="str">
        <v>UPDATE DETAILS</v>
      </c>
      <c r="B50" s="11" t="str">
        <v>SET SCHEDULE</v>
      </c>
      <c r="D50" s="17" t="s">
        <v>544</v>
      </c>
      <c r="E50" s="17" t="s">
        <v>545</v>
      </c>
      <c r="F50" s="17" t="s">
        <v>546</v>
      </c>
      <c r="G50" t="str">
        <v xml:space="preserve">36 E 36th Street - 1J - Young, Kirk - </v>
      </c>
      <c r="H50" t="s">
        <v>74</v>
      </c>
      <c r="I50" s="17">
        <v>3614</v>
      </c>
      <c r="J50" s="17" t="s">
        <v>15</v>
      </c>
      <c r="K50" s="19" t="s">
        <v>75</v>
      </c>
      <c r="L50" s="17" t="s">
        <v>58</v>
      </c>
      <c r="M50" s="17" t="str">
        <f ca="1"/>
        <v>UNKNOWN</v>
      </c>
      <c r="N50" s="17" t="s">
        <v>15</v>
      </c>
      <c r="O50" s="13" t="str">
        <f ca="1"/>
        <v/>
      </c>
      <c r="P50" s="13" t="str">
        <f ca="1"/>
        <v/>
      </c>
      <c r="Q50" s="13" t="str">
        <f ca="1"/>
        <v/>
      </c>
      <c r="R50" s="17" t="str">
        <f ca="1"/>
        <v/>
      </c>
      <c r="S50" t="str">
        <f ca="1"/>
        <v/>
      </c>
      <c r="T50" s="20" t="str">
        <v/>
      </c>
    </row>
    <row r="51" spans="1:20" ht="12.75">
      <c r="A51" s="11" t="str">
        <v>UPDATE DETAILS</v>
      </c>
      <c r="B51" s="11" t="str">
        <v>SET SCHEDULE</v>
      </c>
      <c r="D51" s="17" t="s">
        <v>547</v>
      </c>
      <c r="E51" s="17" t="s">
        <v>548</v>
      </c>
      <c r="G51" t="str">
        <v xml:space="preserve">425 E 61st St - 11th Floor - </v>
      </c>
      <c r="H51" t="s">
        <v>355</v>
      </c>
      <c r="J51" s="17" t="s">
        <v>15</v>
      </c>
      <c r="K51" s="19" t="s">
        <v>356</v>
      </c>
      <c r="L51" s="17" t="s">
        <v>62</v>
      </c>
      <c r="M51" s="17" t="str">
        <f ca="1"/>
        <v>UNKNOWN</v>
      </c>
      <c r="N51" s="17" t="s">
        <v>15</v>
      </c>
      <c r="O51" s="13" t="str">
        <f ca="1"/>
        <v/>
      </c>
      <c r="P51" s="13" t="str">
        <f ca="1"/>
        <v/>
      </c>
      <c r="Q51" s="13" t="str">
        <f ca="1"/>
        <v/>
      </c>
      <c r="R51" s="17" t="str">
        <f ca="1"/>
        <v/>
      </c>
      <c r="S51" t="str">
        <f ca="1"/>
        <v/>
      </c>
      <c r="T51" s="20" t="str">
        <v/>
      </c>
    </row>
    <row r="52" spans="1:20" ht="12.75">
      <c r="A52" s="11" t="str">
        <v>UPDATE DETAILS</v>
      </c>
      <c r="B52" s="11" t="str">
        <v>SET SCHEDULE</v>
      </c>
      <c r="D52" s="17" t="s">
        <v>549</v>
      </c>
      <c r="E52" s="17" t="s">
        <v>550</v>
      </c>
      <c r="F52" s="17"/>
      <c r="G52" t="str">
        <v xml:space="preserve">525 E 68th St - Neurology ST 661 - </v>
      </c>
      <c r="H52" t="s">
        <v>357</v>
      </c>
      <c r="J52" s="17" t="s">
        <v>15</v>
      </c>
      <c r="K52" s="19" t="s">
        <v>358</v>
      </c>
      <c r="L52" s="17" t="s">
        <v>62</v>
      </c>
      <c r="M52" s="17" t="str">
        <f ca="1"/>
        <v>UNKNOWN</v>
      </c>
      <c r="N52" s="17" t="s">
        <v>15</v>
      </c>
      <c r="O52" s="13" t="str">
        <f ca="1"/>
        <v/>
      </c>
      <c r="P52" s="13" t="str">
        <f ca="1"/>
        <v/>
      </c>
      <c r="Q52" s="13" t="str">
        <f ca="1"/>
        <v/>
      </c>
      <c r="R52" s="17" t="str">
        <f ca="1"/>
        <v/>
      </c>
      <c r="S52" t="str">
        <f ca="1"/>
        <v/>
      </c>
      <c r="T52" s="20" t="str">
        <v/>
      </c>
    </row>
    <row r="53" spans="1:20" ht="12.75">
      <c r="A53" s="11" t="str">
        <v>UPDATE DETAILS</v>
      </c>
      <c r="B53" s="11" t="str">
        <v>SET SCHEDULE</v>
      </c>
      <c r="D53" s="17" t="s">
        <v>551</v>
      </c>
      <c r="E53" s="17" t="s">
        <v>552</v>
      </c>
      <c r="G53" t="str">
        <v xml:space="preserve">8 North - M2 - DIALYSIS - </v>
      </c>
      <c r="H53" t="s">
        <v>359</v>
      </c>
      <c r="J53" s="17" t="s">
        <v>15</v>
      </c>
      <c r="K53" s="19" t="s">
        <v>360</v>
      </c>
      <c r="L53" s="17" t="s">
        <v>62</v>
      </c>
      <c r="M53" s="17" t="str">
        <f ca="1"/>
        <v>UNKNOWN</v>
      </c>
      <c r="N53" s="17" t="s">
        <v>15</v>
      </c>
      <c r="O53" s="21" t="str">
        <f ca="1"/>
        <v/>
      </c>
      <c r="P53" s="13" t="str">
        <f ca="1"/>
        <v/>
      </c>
      <c r="Q53" s="13" t="str">
        <f ca="1"/>
        <v/>
      </c>
      <c r="R53" s="17" t="str">
        <f ca="1"/>
        <v/>
      </c>
      <c r="S53" s="17" t="str">
        <f ca="1"/>
        <v/>
      </c>
      <c r="T53" s="20" t="str">
        <v/>
      </c>
    </row>
    <row r="54" spans="1:20" ht="12.75">
      <c r="A54" s="11" t="str">
        <v>UPDATE DETAILS</v>
      </c>
      <c r="B54" s="11" t="str">
        <v>SET SCHEDULE</v>
      </c>
      <c r="D54" s="17"/>
      <c r="E54" s="17"/>
      <c r="F54" s="17" t="s">
        <v>260</v>
      </c>
      <c r="G54" t="str">
        <v xml:space="preserve">Acosta, Alberto - </v>
      </c>
      <c r="H54" t="s">
        <v>260</v>
      </c>
      <c r="I54" s="17"/>
      <c r="J54" s="17" t="s">
        <v>15</v>
      </c>
      <c r="K54" s="19" t="s">
        <v>261</v>
      </c>
      <c r="L54" s="17" t="s">
        <v>61</v>
      </c>
      <c r="M54" s="17" t="str">
        <f ca="1"/>
        <v>UNKNOWN</v>
      </c>
      <c r="N54" s="17" t="s">
        <v>15</v>
      </c>
      <c r="O54" s="13" t="str">
        <f ca="1"/>
        <v/>
      </c>
      <c r="P54" s="13" t="str">
        <f ca="1"/>
        <v/>
      </c>
      <c r="Q54" s="13" t="str">
        <f ca="1"/>
        <v/>
      </c>
      <c r="R54" s="17" t="str">
        <f ca="1"/>
        <v/>
      </c>
      <c r="S54" t="str">
        <f ca="1"/>
        <v/>
      </c>
      <c r="T54" s="20" t="str">
        <v/>
      </c>
    </row>
    <row r="55" spans="1:20" ht="12.75">
      <c r="A55" s="11" t="str">
        <v>UPDATE DETAILS</v>
      </c>
      <c r="B55" s="11" t="str">
        <v>SET SCHEDULE</v>
      </c>
      <c r="F55" s="17" t="s">
        <v>361</v>
      </c>
      <c r="G55" t="str">
        <v xml:space="preserve">Altorki, Nasser K. - </v>
      </c>
      <c r="H55" t="s">
        <v>361</v>
      </c>
      <c r="J55" s="17" t="s">
        <v>553</v>
      </c>
      <c r="K55" s="19" t="s">
        <v>362</v>
      </c>
      <c r="L55" s="17" t="s">
        <v>62</v>
      </c>
      <c r="M55" s="17" t="str">
        <f ca="1"/>
        <v>UNKNOWN</v>
      </c>
      <c r="N55" s="17" t="s">
        <v>15</v>
      </c>
      <c r="O55" s="13" t="str">
        <f ca="1"/>
        <v/>
      </c>
      <c r="P55" s="13" t="str">
        <f ca="1"/>
        <v/>
      </c>
      <c r="Q55" s="13" t="str">
        <f ca="1"/>
        <v/>
      </c>
      <c r="R55" s="17" t="str">
        <f ca="1"/>
        <v/>
      </c>
      <c r="S55" t="str">
        <f ca="1"/>
        <v/>
      </c>
      <c r="T55" s="20" t="str">
        <v/>
      </c>
    </row>
    <row r="56" spans="1:20" ht="12.75">
      <c r="A56" s="11" t="str">
        <v>UPDATE DETAILS</v>
      </c>
      <c r="B56" s="11" t="str">
        <v>SET SCHEDULE</v>
      </c>
      <c r="F56" s="17" t="s">
        <v>20</v>
      </c>
      <c r="G56" t="str">
        <v xml:space="preserve">Aronne, Louis  / Waitman / Vargas-Rodriguez, Ilana - </v>
      </c>
      <c r="H56" t="s">
        <v>20</v>
      </c>
      <c r="J56" s="17" t="s">
        <v>15</v>
      </c>
      <c r="K56" s="19" t="s">
        <v>21</v>
      </c>
      <c r="L56" s="17" t="s">
        <v>13</v>
      </c>
      <c r="M56" s="17" t="str">
        <f ca="1"/>
        <v>UNKNOWN</v>
      </c>
      <c r="N56" s="17" t="s">
        <v>15</v>
      </c>
      <c r="O56" s="13" t="str">
        <f ca="1"/>
        <v/>
      </c>
      <c r="P56" s="13" t="str">
        <f ca="1"/>
        <v/>
      </c>
      <c r="Q56" s="13" t="str">
        <f ca="1"/>
        <v/>
      </c>
      <c r="R56" s="17" t="str">
        <f ca="1"/>
        <v/>
      </c>
      <c r="S56" t="str">
        <f ca="1"/>
        <v/>
      </c>
      <c r="T56" s="20" t="str">
        <v/>
      </c>
    </row>
    <row r="57" spans="1:20" ht="12.75">
      <c r="A57" s="11" t="str">
        <v>UPDATE DETAILS</v>
      </c>
      <c r="B57" s="11" t="str">
        <v>SET SCHEDULE</v>
      </c>
      <c r="C57" s="17" t="s">
        <v>554</v>
      </c>
      <c r="E57" s="17" t="s">
        <v>555</v>
      </c>
      <c r="G57" t="str">
        <v xml:space="preserve">BAKER - 23 - PEDS SPCL STUDIES - </v>
      </c>
      <c r="H57" t="s">
        <v>363</v>
      </c>
      <c r="J57" s="17" t="s">
        <v>15</v>
      </c>
      <c r="K57" s="19" t="s">
        <v>364</v>
      </c>
      <c r="L57" s="17" t="s">
        <v>62</v>
      </c>
      <c r="M57" s="17" t="str">
        <f ca="1"/>
        <v>UNKNOWN</v>
      </c>
      <c r="N57" s="17" t="s">
        <v>15</v>
      </c>
      <c r="O57" s="13" t="str">
        <f ca="1"/>
        <v/>
      </c>
      <c r="P57" s="13" t="str">
        <f ca="1"/>
        <v/>
      </c>
      <c r="Q57" s="13" t="str">
        <f ca="1"/>
        <v/>
      </c>
      <c r="R57" s="17" t="str">
        <f ca="1"/>
        <v/>
      </c>
      <c r="S57" t="str">
        <f ca="1"/>
        <v/>
      </c>
      <c r="T57" s="20" t="str">
        <v/>
      </c>
    </row>
    <row r="58" spans="1:20" ht="12.75">
      <c r="A58" s="11" t="str">
        <v>UPDATE DETAILS</v>
      </c>
      <c r="B58" s="11" t="str">
        <v>SET SCHEDULE</v>
      </c>
      <c r="C58" s="17" t="s">
        <v>365</v>
      </c>
      <c r="G58" t="str">
        <v xml:space="preserve">BAKER - 24 - </v>
      </c>
      <c r="H58" t="s">
        <v>365</v>
      </c>
      <c r="J58" s="17" t="s">
        <v>15</v>
      </c>
      <c r="K58" s="19" t="s">
        <v>366</v>
      </c>
      <c r="L58" s="17" t="s">
        <v>62</v>
      </c>
      <c r="M58" s="17" t="str">
        <f ca="1"/>
        <v>UNKNOWN</v>
      </c>
      <c r="N58" s="17" t="s">
        <v>15</v>
      </c>
      <c r="O58" s="13" t="str">
        <f ca="1"/>
        <v/>
      </c>
      <c r="P58" s="13" t="str">
        <f ca="1"/>
        <v/>
      </c>
      <c r="Q58" s="13" t="str">
        <f ca="1"/>
        <v/>
      </c>
      <c r="R58" s="17" t="str">
        <f ca="1"/>
        <v/>
      </c>
      <c r="S58" t="str">
        <f ca="1"/>
        <v/>
      </c>
      <c r="T58" s="20" t="str">
        <v/>
      </c>
    </row>
    <row r="59" spans="1:20" ht="12.75">
      <c r="A59" s="11" t="str">
        <v>UPDATE DETAILS</v>
      </c>
      <c r="B59" s="11" t="str">
        <v>SET SCHEDULE</v>
      </c>
      <c r="F59" s="17" t="s">
        <v>171</v>
      </c>
      <c r="G59" t="str">
        <v xml:space="preserve">Banuchi-Crespo, Victoria - </v>
      </c>
      <c r="H59" t="s">
        <v>171</v>
      </c>
      <c r="I59" s="17"/>
      <c r="J59" s="17" t="s">
        <v>15</v>
      </c>
      <c r="K59" s="19" t="s">
        <v>172</v>
      </c>
      <c r="L59" s="17" t="s">
        <v>57</v>
      </c>
      <c r="M59" s="17" t="str">
        <f ca="1"/>
        <v>UNKNOWN</v>
      </c>
      <c r="N59" s="17" t="s">
        <v>15</v>
      </c>
      <c r="O59" s="13" t="str">
        <f ca="1"/>
        <v/>
      </c>
      <c r="P59" s="13" t="str">
        <f ca="1"/>
        <v/>
      </c>
      <c r="Q59" s="13" t="str">
        <f ca="1"/>
        <v/>
      </c>
      <c r="R59" s="17" t="str">
        <f ca="1"/>
        <v/>
      </c>
      <c r="S59" t="str">
        <f ca="1"/>
        <v/>
      </c>
      <c r="T59" s="20" t="str">
        <v/>
      </c>
    </row>
    <row r="60" spans="1:20" ht="12.75">
      <c r="A60" s="11" t="str">
        <v>UPDATE DETAILS</v>
      </c>
      <c r="B60" s="11" t="str">
        <v>SET SCHEDULE</v>
      </c>
      <c r="F60" s="17" t="s">
        <v>231</v>
      </c>
      <c r="G60" t="str">
        <v xml:space="preserve">Bardes, Charles - </v>
      </c>
      <c r="H60" t="s">
        <v>231</v>
      </c>
      <c r="I60" s="17"/>
      <c r="J60" s="17" t="s">
        <v>15</v>
      </c>
      <c r="K60" s="19" t="s">
        <v>232</v>
      </c>
      <c r="L60" s="17" t="s">
        <v>54</v>
      </c>
      <c r="M60" s="17" t="str">
        <f ca="1"/>
        <v>UNKNOWN</v>
      </c>
      <c r="N60" s="17" t="s">
        <v>15</v>
      </c>
      <c r="O60" s="13" t="str">
        <f ca="1"/>
        <v/>
      </c>
      <c r="P60" s="13" t="str">
        <f ca="1"/>
        <v/>
      </c>
      <c r="Q60" s="13" t="str">
        <f ca="1"/>
        <v/>
      </c>
      <c r="R60" s="17" t="str">
        <f ca="1"/>
        <v/>
      </c>
      <c r="S60" t="str">
        <f ca="1"/>
        <v/>
      </c>
      <c r="T60" s="20" t="str">
        <v/>
      </c>
    </row>
    <row r="61" spans="1:20" ht="12.75">
      <c r="A61" s="11" t="str">
        <v>UPDATE DETAILS</v>
      </c>
      <c r="B61" s="11" t="str">
        <v>SET SCHEDULE</v>
      </c>
      <c r="F61" s="17" t="s">
        <v>262</v>
      </c>
      <c r="G61" t="str">
        <v xml:space="preserve">Barley, Browers - </v>
      </c>
      <c r="H61" t="s">
        <v>262</v>
      </c>
      <c r="I61" s="17"/>
      <c r="J61" s="17" t="s">
        <v>15</v>
      </c>
      <c r="K61" s="19" t="s">
        <v>263</v>
      </c>
      <c r="L61" s="17" t="s">
        <v>61</v>
      </c>
      <c r="M61" s="17" t="str">
        <f ca="1"/>
        <v>UNKNOWN</v>
      </c>
      <c r="N61" s="17" t="s">
        <v>15</v>
      </c>
      <c r="O61" s="13" t="str">
        <f ca="1"/>
        <v/>
      </c>
      <c r="P61" s="13" t="str">
        <f ca="1"/>
        <v/>
      </c>
      <c r="Q61" s="13" t="str">
        <f ca="1"/>
        <v/>
      </c>
      <c r="R61" s="17" t="str">
        <f ca="1"/>
        <v/>
      </c>
      <c r="S61" t="str">
        <f ca="1"/>
        <v/>
      </c>
      <c r="T61" s="20" t="str">
        <v/>
      </c>
    </row>
    <row r="62" spans="1:20" ht="12.75">
      <c r="A62" s="11" t="str">
        <v>UPDATE DETAILS</v>
      </c>
      <c r="B62" s="11" t="str">
        <v>SET SCHEDULE</v>
      </c>
      <c r="F62" s="17" t="s">
        <v>223</v>
      </c>
      <c r="G62" t="str">
        <v xml:space="preserve">Basu, Patrick - </v>
      </c>
      <c r="H62" t="s">
        <v>223</v>
      </c>
      <c r="J62" s="17" t="s">
        <v>15</v>
      </c>
      <c r="K62" s="19" t="s">
        <v>224</v>
      </c>
      <c r="L62" s="17" t="s">
        <v>225</v>
      </c>
      <c r="M62" s="17" t="str">
        <f ca="1"/>
        <v>UNKNOWN</v>
      </c>
      <c r="N62" s="17" t="s">
        <v>15</v>
      </c>
      <c r="O62" s="13" t="str">
        <f ca="1"/>
        <v/>
      </c>
      <c r="P62" s="13" t="str">
        <f ca="1"/>
        <v/>
      </c>
      <c r="Q62" s="13" t="str">
        <f ca="1"/>
        <v/>
      </c>
      <c r="R62" s="17" t="str">
        <f ca="1"/>
        <v/>
      </c>
      <c r="S62" s="17" t="str">
        <f ca="1"/>
        <v/>
      </c>
      <c r="T62" s="20" t="str">
        <v/>
      </c>
    </row>
    <row r="63" spans="1:20" ht="12.75">
      <c r="A63" s="11" t="str">
        <v>UPDATE DETAILS</v>
      </c>
      <c r="B63" s="11" t="str">
        <v>SET SCHEDULE</v>
      </c>
      <c r="F63" s="17" t="s">
        <v>122</v>
      </c>
      <c r="G63" t="str">
        <v xml:space="preserve">Basuk, Paul  - </v>
      </c>
      <c r="H63" t="s">
        <v>122</v>
      </c>
      <c r="I63" s="17"/>
      <c r="J63" s="17" t="s">
        <v>15</v>
      </c>
      <c r="K63" s="19" t="s">
        <v>123</v>
      </c>
      <c r="L63" s="17" t="s">
        <v>60</v>
      </c>
      <c r="M63" s="17" t="str">
        <f ca="1"/>
        <v>UNKNOWN</v>
      </c>
      <c r="N63" s="17" t="s">
        <v>15</v>
      </c>
      <c r="O63" s="13" t="str">
        <f ca="1"/>
        <v/>
      </c>
      <c r="P63" s="13" t="str">
        <f ca="1"/>
        <v/>
      </c>
      <c r="Q63" s="13" t="str">
        <f ca="1"/>
        <v/>
      </c>
      <c r="R63" s="17" t="str">
        <f ca="1"/>
        <v/>
      </c>
      <c r="S63" t="str">
        <f ca="1"/>
        <v/>
      </c>
      <c r="T63" s="20" t="str">
        <v/>
      </c>
    </row>
    <row r="64" spans="1:20" ht="12.75">
      <c r="A64" s="11" t="str">
        <v>UPDATE DETAILS</v>
      </c>
      <c r="B64" s="11" t="str">
        <v>SET SCHEDULE</v>
      </c>
      <c r="F64" s="17" t="s">
        <v>367</v>
      </c>
      <c r="G64" t="str">
        <v xml:space="preserve">Bednarek, Karl T - </v>
      </c>
      <c r="H64" t="s">
        <v>367</v>
      </c>
      <c r="I64" s="17"/>
      <c r="J64" s="17" t="s">
        <v>15</v>
      </c>
      <c r="K64" s="19" t="s">
        <v>229</v>
      </c>
      <c r="L64" s="17" t="s">
        <v>62</v>
      </c>
      <c r="M64" s="17" t="str">
        <f ca="1"/>
        <v>UNKNOWN</v>
      </c>
      <c r="N64" s="17" t="s">
        <v>15</v>
      </c>
      <c r="O64" s="13" t="str">
        <f ca="1"/>
        <v/>
      </c>
      <c r="P64" s="13" t="str">
        <f ca="1"/>
        <v/>
      </c>
      <c r="Q64" s="13" t="str">
        <f ca="1"/>
        <v/>
      </c>
      <c r="R64" s="17" t="str">
        <f ca="1"/>
        <v/>
      </c>
      <c r="S64" s="17" t="str">
        <f ca="1"/>
        <v/>
      </c>
      <c r="T64" s="20" t="str">
        <v/>
      </c>
    </row>
    <row r="65" spans="1:20" ht="12.75">
      <c r="A65" s="11" t="str">
        <v>UPDATE DETAILS</v>
      </c>
      <c r="B65" s="11" t="str">
        <v>SET SCHEDULE</v>
      </c>
      <c r="F65" s="17" t="s">
        <v>368</v>
      </c>
      <c r="G65" t="str">
        <v xml:space="preserve">Borer, Jeffery S - </v>
      </c>
      <c r="H65" t="s">
        <v>368</v>
      </c>
      <c r="J65" s="17" t="s">
        <v>553</v>
      </c>
      <c r="K65" s="19" t="s">
        <v>369</v>
      </c>
      <c r="L65" s="17" t="s">
        <v>62</v>
      </c>
      <c r="M65" s="17" t="str">
        <f ca="1"/>
        <v>UNKNOWN</v>
      </c>
      <c r="N65" s="17" t="s">
        <v>15</v>
      </c>
      <c r="O65" s="13" t="str">
        <f ca="1"/>
        <v/>
      </c>
      <c r="P65" s="13" t="str">
        <f ca="1"/>
        <v/>
      </c>
      <c r="Q65" s="13" t="str">
        <f ca="1"/>
        <v/>
      </c>
      <c r="R65" s="17" t="str">
        <f ca="1"/>
        <v/>
      </c>
      <c r="S65" t="str">
        <f ca="1"/>
        <v/>
      </c>
      <c r="T65" s="20" t="str">
        <v/>
      </c>
    </row>
    <row r="66" spans="1:20" ht="12.75">
      <c r="A66" s="11" t="str">
        <v>UPDATE DETAILS</v>
      </c>
      <c r="B66" s="11" t="str">
        <v>SET SCHEDULE</v>
      </c>
      <c r="F66" s="17" t="s">
        <v>483</v>
      </c>
      <c r="G66" t="str">
        <v xml:space="preserve">Bosworth, Brian / Scherl, Ellen / Jacobs, V - </v>
      </c>
      <c r="H66" t="s">
        <v>483</v>
      </c>
      <c r="I66" s="17"/>
      <c r="J66" s="17" t="s">
        <v>15</v>
      </c>
      <c r="K66" s="19" t="s">
        <v>354</v>
      </c>
      <c r="L66" s="17" t="s">
        <v>484</v>
      </c>
      <c r="M66" s="17" t="str">
        <f ca="1"/>
        <v>UNKNOWN</v>
      </c>
      <c r="N66" s="17" t="s">
        <v>15</v>
      </c>
      <c r="O66" s="13" t="str">
        <f ca="1"/>
        <v/>
      </c>
      <c r="P66" s="13" t="str">
        <f ca="1"/>
        <v/>
      </c>
      <c r="Q66" s="13" t="str">
        <f ca="1"/>
        <v/>
      </c>
      <c r="R66" s="17" t="str">
        <f ca="1"/>
        <v/>
      </c>
      <c r="S66" t="str">
        <f ca="1"/>
        <v/>
      </c>
      <c r="T66" s="20" t="str">
        <v/>
      </c>
    </row>
    <row r="67" spans="1:20" ht="12.75">
      <c r="A67" s="11" t="str">
        <v>UPDATE DETAILS</v>
      </c>
      <c r="B67" s="11" t="str">
        <v>SET SCHEDULE</v>
      </c>
      <c r="F67" s="17" t="s">
        <v>300</v>
      </c>
      <c r="G67" t="str">
        <v xml:space="preserve">Brownstein, Iliana , Degann, Sona, Guballa, Nerissa - </v>
      </c>
      <c r="H67" t="s">
        <v>300</v>
      </c>
      <c r="I67" s="17"/>
      <c r="J67" s="17" t="s">
        <v>15</v>
      </c>
      <c r="K67" s="19" t="s">
        <v>301</v>
      </c>
      <c r="L67" s="17" t="s">
        <v>53</v>
      </c>
      <c r="M67" s="17" t="str">
        <f ca="1"/>
        <v>UNKNOWN</v>
      </c>
      <c r="N67" s="17" t="s">
        <v>15</v>
      </c>
      <c r="O67" s="13" t="str">
        <f ca="1"/>
        <v/>
      </c>
      <c r="P67" s="13" t="str">
        <f ca="1"/>
        <v/>
      </c>
      <c r="Q67" s="13" t="str">
        <f ca="1"/>
        <v/>
      </c>
      <c r="R67" s="17" t="str">
        <f ca="1"/>
        <v/>
      </c>
      <c r="S67" t="str">
        <f ca="1"/>
        <v/>
      </c>
      <c r="T67" s="20" t="str">
        <v/>
      </c>
    </row>
    <row r="68" spans="1:20" ht="12.75">
      <c r="A68" s="11" t="str">
        <v>UPDATE DETAILS</v>
      </c>
      <c r="B68" s="11" t="str">
        <v>SET SCHEDULE</v>
      </c>
      <c r="F68" s="17" t="s">
        <v>22</v>
      </c>
      <c r="G68" t="str">
        <v xml:space="preserve">Bussell, James - </v>
      </c>
      <c r="H68" t="s">
        <v>22</v>
      </c>
      <c r="I68" s="17"/>
      <c r="J68" s="17" t="s">
        <v>15</v>
      </c>
      <c r="K68" s="19" t="s">
        <v>23</v>
      </c>
      <c r="L68" s="17" t="s">
        <v>13</v>
      </c>
      <c r="M68" s="17" t="str">
        <f ca="1"/>
        <v>UNKNOWN</v>
      </c>
      <c r="N68" s="17" t="s">
        <v>15</v>
      </c>
      <c r="O68" s="13" t="str">
        <f ca="1"/>
        <v/>
      </c>
      <c r="P68" s="13" t="str">
        <f ca="1"/>
        <v/>
      </c>
      <c r="Q68" s="13" t="str">
        <f ca="1"/>
        <v/>
      </c>
      <c r="R68" s="17" t="str">
        <f ca="1"/>
        <v/>
      </c>
      <c r="S68" t="str">
        <f ca="1"/>
        <v/>
      </c>
      <c r="T68" s="20" t="str">
        <v/>
      </c>
    </row>
    <row r="69" spans="1:20" ht="12.75">
      <c r="A69" s="11" t="str">
        <v>UPDATE DETAILS</v>
      </c>
      <c r="B69" s="11" t="str">
        <v>SET SCHEDULE</v>
      </c>
      <c r="E69" s="17" t="s">
        <v>370</v>
      </c>
      <c r="G69" t="str">
        <v xml:space="preserve">CARDIOLOGY - ST4 - </v>
      </c>
      <c r="H69" t="s">
        <v>370</v>
      </c>
      <c r="J69" s="17" t="s">
        <v>15</v>
      </c>
      <c r="K69" s="19" t="s">
        <v>371</v>
      </c>
      <c r="L69" s="17" t="s">
        <v>62</v>
      </c>
      <c r="M69" s="17" t="str">
        <f ca="1"/>
        <v>UNKNOWN</v>
      </c>
      <c r="N69" s="17" t="s">
        <v>15</v>
      </c>
      <c r="O69" s="13" t="str">
        <f ca="1"/>
        <v/>
      </c>
      <c r="P69" s="13" t="str">
        <f ca="1"/>
        <v/>
      </c>
      <c r="Q69" s="13" t="str">
        <f ca="1"/>
        <v/>
      </c>
      <c r="R69" s="17" t="str">
        <f ca="1"/>
        <v/>
      </c>
      <c r="S69" t="str">
        <f ca="1"/>
        <v/>
      </c>
      <c r="T69" s="20" t="str">
        <v/>
      </c>
    </row>
    <row r="70" spans="1:20" ht="12.75">
      <c r="A70" s="11" t="str">
        <v>UPDATE DETAILS</v>
      </c>
      <c r="B70" s="11" t="str">
        <v>SET SCHEDULE</v>
      </c>
      <c r="F70" s="17" t="s">
        <v>264</v>
      </c>
      <c r="G70" t="str">
        <v xml:space="preserve">Carlon, Anne - </v>
      </c>
      <c r="H70" t="s">
        <v>264</v>
      </c>
      <c r="I70" s="17"/>
      <c r="J70" s="17" t="s">
        <v>15</v>
      </c>
      <c r="K70" s="19" t="s">
        <v>265</v>
      </c>
      <c r="L70" s="17" t="s">
        <v>61</v>
      </c>
      <c r="M70" s="17" t="str">
        <f ca="1"/>
        <v>UNKNOWN</v>
      </c>
      <c r="N70" s="17" t="s">
        <v>15</v>
      </c>
      <c r="O70" s="13" t="str">
        <f ca="1"/>
        <v/>
      </c>
      <c r="P70" s="13" t="str">
        <f ca="1"/>
        <v/>
      </c>
      <c r="Q70" s="13" t="str">
        <f ca="1"/>
        <v/>
      </c>
      <c r="R70" s="17" t="str">
        <f ca="1"/>
        <v/>
      </c>
      <c r="S70" t="str">
        <f ca="1"/>
        <v/>
      </c>
      <c r="T70" s="20" t="str">
        <v/>
      </c>
    </row>
    <row r="71" spans="1:20" ht="12.75">
      <c r="A71" s="11" t="str">
        <v>UPDATE DETAILS</v>
      </c>
      <c r="B71" s="11" t="str">
        <v>SET SCHEDULE</v>
      </c>
      <c r="C71" s="17" t="s">
        <v>556</v>
      </c>
      <c r="E71" s="17" t="s">
        <v>557</v>
      </c>
      <c r="G71" t="str">
        <v xml:space="preserve">CARNEGIE HILL - ENDOSCOPY - </v>
      </c>
      <c r="H71" t="s">
        <v>124</v>
      </c>
      <c r="J71" s="17" t="s">
        <v>15</v>
      </c>
      <c r="K71" s="19" t="s">
        <v>125</v>
      </c>
      <c r="L71" s="17" t="s">
        <v>60</v>
      </c>
      <c r="M71" s="17" t="str">
        <f ca="1"/>
        <v>UNKNOWN</v>
      </c>
      <c r="N71" s="17" t="s">
        <v>15</v>
      </c>
      <c r="O71" s="13" t="str">
        <f ca="1"/>
        <v/>
      </c>
      <c r="P71" s="13" t="str">
        <f ca="1"/>
        <v/>
      </c>
      <c r="Q71" s="13" t="str">
        <f ca="1"/>
        <v/>
      </c>
      <c r="R71" s="17" t="str">
        <f ca="1"/>
        <v/>
      </c>
      <c r="S71" t="str">
        <f ca="1"/>
        <v/>
      </c>
      <c r="T71" s="20" t="str">
        <v/>
      </c>
    </row>
    <row r="72" spans="1:20" ht="12.75">
      <c r="A72" s="11" t="str">
        <v>UPDATE DETAILS</v>
      </c>
      <c r="B72" s="11" t="str">
        <v>SET SCHEDULE</v>
      </c>
      <c r="C72" s="17" t="s">
        <v>372</v>
      </c>
      <c r="G72" t="str">
        <v xml:space="preserve">CENTER FOR SPECIALTY CARE - </v>
      </c>
      <c r="H72" t="s">
        <v>372</v>
      </c>
      <c r="J72" s="17" t="s">
        <v>15</v>
      </c>
      <c r="K72" s="19" t="s">
        <v>373</v>
      </c>
      <c r="L72" s="17" t="s">
        <v>62</v>
      </c>
      <c r="M72" s="17" t="str">
        <f ca="1"/>
        <v>UNKNOWN</v>
      </c>
      <c r="N72" s="17" t="s">
        <v>15</v>
      </c>
      <c r="O72" s="13" t="str">
        <f ca="1"/>
        <v/>
      </c>
      <c r="P72" s="13" t="str">
        <f ca="1"/>
        <v/>
      </c>
      <c r="Q72" s="13" t="str">
        <f ca="1"/>
        <v/>
      </c>
      <c r="R72" s="17" t="str">
        <f ca="1"/>
        <v/>
      </c>
      <c r="S72" t="str">
        <f ca="1"/>
        <v/>
      </c>
      <c r="T72" s="20" t="str">
        <v/>
      </c>
    </row>
    <row r="73" spans="1:20" ht="12.75">
      <c r="A73" s="11" t="str">
        <v>UPDATE DETAILS</v>
      </c>
      <c r="B73" s="11" t="str">
        <v>SET SCHEDULE</v>
      </c>
      <c r="D73" s="17" t="s">
        <v>558</v>
      </c>
      <c r="F73" s="17" t="s">
        <v>559</v>
      </c>
      <c r="G73" t="str">
        <v xml:space="preserve">CENTER STICH 1 - Soumekh, Amir - </v>
      </c>
      <c r="H73" t="s">
        <v>374</v>
      </c>
      <c r="J73" s="17" t="s">
        <v>15</v>
      </c>
      <c r="K73" s="19" t="s">
        <v>375</v>
      </c>
      <c r="L73" s="17" t="s">
        <v>62</v>
      </c>
      <c r="M73" s="17" t="str">
        <f ca="1"/>
        <v>UNKNOWN</v>
      </c>
      <c r="N73" s="17" t="s">
        <v>15</v>
      </c>
      <c r="O73" s="13" t="str">
        <f ca="1"/>
        <v/>
      </c>
      <c r="P73" s="13" t="str">
        <f ca="1"/>
        <v/>
      </c>
      <c r="Q73" s="13" t="str">
        <f ca="1"/>
        <v/>
      </c>
      <c r="R73" s="17" t="str">
        <f ca="1"/>
        <v/>
      </c>
      <c r="S73" t="str">
        <f ca="1"/>
        <v/>
      </c>
      <c r="T73" s="20" t="str">
        <v/>
      </c>
    </row>
    <row r="74" spans="1:20" ht="12.75">
      <c r="A74" s="11" t="str">
        <v>UPDATE DETAILS</v>
      </c>
      <c r="B74" s="11" t="str">
        <v>SET SCHEDULE</v>
      </c>
      <c r="C74" s="17" t="s">
        <v>560</v>
      </c>
      <c r="D74" s="17" t="s">
        <v>561</v>
      </c>
      <c r="F74" s="17" t="s">
        <v>562</v>
      </c>
      <c r="G74" t="str">
        <v xml:space="preserve">CMA Broadway - 2315 Broadway - Bragin, Llana - </v>
      </c>
      <c r="H74" t="s">
        <v>126</v>
      </c>
      <c r="I74" s="17"/>
      <c r="J74" s="17" t="s">
        <v>15</v>
      </c>
      <c r="K74" s="19" t="s">
        <v>127</v>
      </c>
      <c r="L74" s="17" t="s">
        <v>60</v>
      </c>
      <c r="M74" s="17" t="str">
        <f ca="1"/>
        <v>UNKNOWN</v>
      </c>
      <c r="N74" s="17" t="s">
        <v>15</v>
      </c>
      <c r="O74" s="13" t="str">
        <f ca="1"/>
        <v/>
      </c>
      <c r="P74" s="13" t="str">
        <f ca="1"/>
        <v/>
      </c>
      <c r="Q74" s="13" t="str">
        <f ca="1"/>
        <v/>
      </c>
      <c r="R74" s="17" t="str">
        <f ca="1"/>
        <v/>
      </c>
      <c r="S74" t="str">
        <f ca="1"/>
        <v/>
      </c>
      <c r="T74" s="20" t="str">
        <v/>
      </c>
    </row>
    <row r="75" spans="1:20" ht="12.75">
      <c r="A75" s="11" t="str">
        <v>UPDATE DETAILS</v>
      </c>
      <c r="B75" s="11" t="str">
        <v>SET SCHEDULE</v>
      </c>
      <c r="C75" s="17" t="s">
        <v>560</v>
      </c>
      <c r="D75" s="17" t="s">
        <v>561</v>
      </c>
      <c r="F75" s="17" t="s">
        <v>563</v>
      </c>
      <c r="G75" t="str">
        <v xml:space="preserve">CMA Broadway - 2315 Broadway - Chang, Joseph - </v>
      </c>
      <c r="H75" t="s">
        <v>128</v>
      </c>
      <c r="I75" s="17"/>
      <c r="J75" s="17" t="s">
        <v>15</v>
      </c>
      <c r="K75" s="19" t="s">
        <v>127</v>
      </c>
      <c r="L75" s="17" t="s">
        <v>60</v>
      </c>
      <c r="M75" s="17" t="str">
        <f ca="1"/>
        <v>UNKNOWN</v>
      </c>
      <c r="N75" s="17" t="s">
        <v>15</v>
      </c>
      <c r="O75" s="13" t="str">
        <f ca="1"/>
        <v/>
      </c>
      <c r="P75" s="13" t="str">
        <f ca="1"/>
        <v/>
      </c>
      <c r="Q75" s="13" t="str">
        <f ca="1"/>
        <v/>
      </c>
      <c r="R75" s="17" t="str">
        <f ca="1"/>
        <v/>
      </c>
      <c r="S75" t="str">
        <f ca="1"/>
        <v/>
      </c>
      <c r="T75" s="20" t="str">
        <v/>
      </c>
    </row>
    <row r="76" spans="1:20" ht="12.75">
      <c r="A76" s="11" t="str">
        <v>UPDATE DETAILS</v>
      </c>
      <c r="B76" s="11" t="str">
        <v>SET SCHEDULE</v>
      </c>
      <c r="C76" s="17" t="s">
        <v>560</v>
      </c>
      <c r="D76" s="17" t="s">
        <v>561</v>
      </c>
      <c r="F76" s="17" t="s">
        <v>564</v>
      </c>
      <c r="G76" t="str">
        <v xml:space="preserve">CMA Broadway - 2315 Broadway - Cohen, David - </v>
      </c>
      <c r="H76" t="s">
        <v>129</v>
      </c>
      <c r="I76" s="17"/>
      <c r="J76" s="17" t="s">
        <v>15</v>
      </c>
      <c r="K76" s="19" t="s">
        <v>127</v>
      </c>
      <c r="L76" s="17" t="s">
        <v>60</v>
      </c>
      <c r="M76" s="17" t="str">
        <f ca="1"/>
        <v>UNKNOWN</v>
      </c>
      <c r="N76" s="17" t="s">
        <v>15</v>
      </c>
      <c r="O76" s="13" t="str">
        <f ca="1"/>
        <v/>
      </c>
      <c r="P76" s="13" t="str">
        <f ca="1"/>
        <v/>
      </c>
      <c r="Q76" s="13" t="str">
        <f ca="1"/>
        <v/>
      </c>
      <c r="R76" s="17" t="str">
        <f ca="1"/>
        <v/>
      </c>
      <c r="S76" t="str">
        <f ca="1"/>
        <v/>
      </c>
      <c r="T76" s="20" t="str">
        <v/>
      </c>
    </row>
    <row r="77" spans="1:20" ht="12.75">
      <c r="A77" s="11" t="str">
        <v>UPDATE DETAILS</v>
      </c>
      <c r="B77" s="11" t="str">
        <v>SET SCHEDULE</v>
      </c>
      <c r="C77" s="17" t="s">
        <v>560</v>
      </c>
      <c r="D77" s="17" t="s">
        <v>561</v>
      </c>
      <c r="F77" s="17" t="s">
        <v>565</v>
      </c>
      <c r="G77" t="str">
        <v xml:space="preserve">CMA Broadway - 2315 Broadway - Havryluik, Yelena - </v>
      </c>
      <c r="H77" t="s">
        <v>130</v>
      </c>
      <c r="I77" s="17"/>
      <c r="J77" s="17" t="s">
        <v>15</v>
      </c>
      <c r="K77" s="19" t="s">
        <v>131</v>
      </c>
      <c r="L77" s="17" t="s">
        <v>60</v>
      </c>
      <c r="M77" s="17" t="str">
        <f ca="1"/>
        <v>UNKNOWN</v>
      </c>
      <c r="N77" s="17" t="s">
        <v>15</v>
      </c>
      <c r="O77" s="13" t="str">
        <f ca="1"/>
        <v/>
      </c>
      <c r="P77" s="13" t="str">
        <f ca="1"/>
        <v/>
      </c>
      <c r="Q77" s="13" t="str">
        <f ca="1"/>
        <v/>
      </c>
      <c r="R77" s="17" t="str">
        <f ca="1"/>
        <v/>
      </c>
      <c r="S77" s="17" t="str">
        <f ca="1"/>
        <v/>
      </c>
      <c r="T77" s="20" t="str">
        <v/>
      </c>
    </row>
    <row r="78" spans="1:20" ht="12.75">
      <c r="A78" s="11" t="str">
        <v>UPDATE DETAILS</v>
      </c>
      <c r="B78" s="11" t="str">
        <v>SET SCHEDULE</v>
      </c>
      <c r="C78" s="17" t="s">
        <v>560</v>
      </c>
      <c r="D78" s="17" t="s">
        <v>561</v>
      </c>
      <c r="F78" s="17" t="s">
        <v>566</v>
      </c>
      <c r="G78" t="str">
        <v xml:space="preserve">CMA Broadway - 2315 Broadway - Rosinni, Jane - </v>
      </c>
      <c r="H78" t="s">
        <v>132</v>
      </c>
      <c r="I78" s="17"/>
      <c r="J78" s="17" t="s">
        <v>15</v>
      </c>
      <c r="K78" s="19" t="s">
        <v>127</v>
      </c>
      <c r="L78" s="17" t="s">
        <v>60</v>
      </c>
      <c r="M78" s="17" t="str">
        <f ca="1"/>
        <v>UNKNOWN</v>
      </c>
      <c r="N78" s="17" t="s">
        <v>15</v>
      </c>
      <c r="O78" s="13" t="str">
        <f ca="1"/>
        <v/>
      </c>
      <c r="P78" s="13" t="str">
        <f ca="1"/>
        <v/>
      </c>
      <c r="Q78" s="13" t="str">
        <f ca="1"/>
        <v/>
      </c>
      <c r="R78" s="17" t="str">
        <f ca="1"/>
        <v/>
      </c>
      <c r="S78" t="str">
        <f ca="1"/>
        <v/>
      </c>
      <c r="T78" s="20" t="str">
        <v/>
      </c>
    </row>
    <row r="79" spans="1:20" ht="12.75">
      <c r="A79" s="11" t="str">
        <v>UPDATE DETAILS</v>
      </c>
      <c r="B79" s="11" t="str">
        <v>SET SCHEDULE</v>
      </c>
      <c r="C79" s="17" t="s">
        <v>560</v>
      </c>
      <c r="D79" s="17" t="s">
        <v>561</v>
      </c>
      <c r="F79" s="17" t="s">
        <v>567</v>
      </c>
      <c r="G79" t="str">
        <v xml:space="preserve">CMA Broadway - 2315 Broadway - Sanford, Marie - </v>
      </c>
      <c r="H79" t="s">
        <v>133</v>
      </c>
      <c r="I79" s="17"/>
      <c r="J79" s="17" t="s">
        <v>15</v>
      </c>
      <c r="K79" s="19" t="s">
        <v>127</v>
      </c>
      <c r="L79" s="17" t="s">
        <v>60</v>
      </c>
      <c r="M79" s="17" t="str">
        <f ca="1"/>
        <v>UNKNOWN</v>
      </c>
      <c r="N79" s="17" t="s">
        <v>15</v>
      </c>
      <c r="O79" s="13" t="str">
        <f ca="1"/>
        <v/>
      </c>
      <c r="P79" s="13" t="str">
        <f ca="1"/>
        <v/>
      </c>
      <c r="Q79" s="13" t="str">
        <f ca="1"/>
        <v/>
      </c>
      <c r="R79" s="17" t="str">
        <f ca="1"/>
        <v/>
      </c>
      <c r="S79" t="str">
        <f ca="1"/>
        <v/>
      </c>
      <c r="T79" s="20" t="str">
        <v/>
      </c>
    </row>
    <row r="80" spans="1:20" ht="12.75">
      <c r="A80" s="11" t="str">
        <v>UPDATE DETAILS</v>
      </c>
      <c r="B80" s="11" t="str">
        <v>SET SCHEDULE</v>
      </c>
      <c r="C80" s="17" t="s">
        <v>560</v>
      </c>
      <c r="D80" s="17" t="s">
        <v>561</v>
      </c>
      <c r="F80" s="17" t="s">
        <v>568</v>
      </c>
      <c r="G80" t="str">
        <v xml:space="preserve">CMA Broadway - 2315 Broadway - Shultz, Christopher - </v>
      </c>
      <c r="H80" t="s">
        <v>134</v>
      </c>
      <c r="I80" s="17"/>
      <c r="J80" s="17" t="s">
        <v>15</v>
      </c>
      <c r="K80" s="19" t="s">
        <v>127</v>
      </c>
      <c r="L80" s="17" t="s">
        <v>60</v>
      </c>
      <c r="M80" s="17" t="str">
        <f ca="1"/>
        <v>UNKNOWN</v>
      </c>
      <c r="N80" s="17" t="s">
        <v>15</v>
      </c>
      <c r="O80" s="13" t="str">
        <f ca="1"/>
        <v/>
      </c>
      <c r="P80" s="13" t="str">
        <f ca="1"/>
        <v/>
      </c>
      <c r="Q80" s="13" t="str">
        <f ca="1"/>
        <v/>
      </c>
      <c r="R80" s="17" t="str">
        <f ca="1"/>
        <v/>
      </c>
      <c r="S80" t="str">
        <f ca="1"/>
        <v/>
      </c>
      <c r="T80" s="20" t="str">
        <v/>
      </c>
    </row>
    <row r="81" spans="1:20" ht="12.75">
      <c r="A81" s="11" t="str">
        <v>UPDATE DETAILS</v>
      </c>
      <c r="B81" s="11" t="str">
        <v>SET SCHEDULE</v>
      </c>
      <c r="C81" s="17" t="s">
        <v>560</v>
      </c>
      <c r="D81" s="17" t="s">
        <v>561</v>
      </c>
      <c r="F81" s="17" t="s">
        <v>569</v>
      </c>
      <c r="G81" t="str">
        <v xml:space="preserve">CMA Broadway - 2315 Broadway - Spandofer, Steven - </v>
      </c>
      <c r="H81" t="s">
        <v>94</v>
      </c>
      <c r="I81" s="17"/>
      <c r="J81" s="17" t="s">
        <v>15</v>
      </c>
      <c r="K81" s="19" t="s">
        <v>95</v>
      </c>
      <c r="L81" s="17" t="s">
        <v>48</v>
      </c>
      <c r="M81" s="17" t="str">
        <f ca="1"/>
        <v>UNKNOWN</v>
      </c>
      <c r="N81" s="17" t="s">
        <v>15</v>
      </c>
      <c r="O81" s="13" t="str">
        <f ca="1"/>
        <v/>
      </c>
      <c r="P81" s="13" t="str">
        <f ca="1"/>
        <v/>
      </c>
      <c r="Q81" s="13" t="str">
        <f ca="1"/>
        <v/>
      </c>
      <c r="R81" s="17" t="str">
        <f ca="1"/>
        <v/>
      </c>
      <c r="S81" s="17" t="str">
        <f ca="1"/>
        <v/>
      </c>
      <c r="T81" s="20" t="str">
        <v/>
      </c>
    </row>
    <row r="82" spans="1:20" ht="12.75">
      <c r="A82" s="11" t="str">
        <v>UPDATE DETAILS</v>
      </c>
      <c r="B82" s="11" t="str">
        <v>SET SCHEDULE</v>
      </c>
      <c r="C82" s="17" t="s">
        <v>560</v>
      </c>
      <c r="D82" s="17" t="s">
        <v>561</v>
      </c>
      <c r="F82" s="17" t="s">
        <v>570</v>
      </c>
      <c r="G82" t="str">
        <v xml:space="preserve">CMA Broadway - 2315 Broadway - Wu, Yu-Hsin - </v>
      </c>
      <c r="H82" t="s">
        <v>135</v>
      </c>
      <c r="I82" s="17"/>
      <c r="J82" s="17" t="s">
        <v>15</v>
      </c>
      <c r="K82" s="19" t="s">
        <v>127</v>
      </c>
      <c r="L82" s="17" t="s">
        <v>60</v>
      </c>
      <c r="M82" s="17" t="str">
        <f ca="1"/>
        <v>UNKNOWN</v>
      </c>
      <c r="N82" s="17" t="s">
        <v>15</v>
      </c>
      <c r="O82" s="13" t="str">
        <f ca="1"/>
        <v/>
      </c>
      <c r="P82" s="13" t="str">
        <f ca="1"/>
        <v/>
      </c>
      <c r="Q82" s="13" t="str">
        <f ca="1"/>
        <v/>
      </c>
      <c r="R82" s="17" t="str">
        <f ca="1"/>
        <v/>
      </c>
      <c r="S82" t="str">
        <f ca="1"/>
        <v/>
      </c>
      <c r="T82" s="20" t="str">
        <v/>
      </c>
    </row>
    <row r="83" spans="1:20" ht="12.75">
      <c r="A83" s="11" t="str">
        <v>UPDATE DETAILS</v>
      </c>
      <c r="B83" s="11" t="str">
        <v>SET SCHEDULE</v>
      </c>
      <c r="C83" s="17" t="s">
        <v>571</v>
      </c>
      <c r="D83" s="17" t="s">
        <v>572</v>
      </c>
      <c r="E83" s="17" t="s">
        <v>573</v>
      </c>
      <c r="G83" t="str">
        <v xml:space="preserve">CMA Tribeca - 40 Worth Street - INTERNAL MED - </v>
      </c>
      <c r="H83" t="s">
        <v>136</v>
      </c>
      <c r="J83" s="17" t="s">
        <v>15</v>
      </c>
      <c r="K83" s="19" t="s">
        <v>137</v>
      </c>
      <c r="L83" s="17" t="s">
        <v>60</v>
      </c>
      <c r="M83" s="17" t="str">
        <f ca="1"/>
        <v>UNKNOWN</v>
      </c>
      <c r="N83" s="17" t="s">
        <v>15</v>
      </c>
      <c r="O83" s="13" t="str">
        <f ca="1"/>
        <v/>
      </c>
      <c r="P83" s="13" t="str">
        <f ca="1"/>
        <v/>
      </c>
      <c r="Q83" s="13" t="str">
        <f ca="1"/>
        <v/>
      </c>
      <c r="R83" s="17" t="str">
        <f ca="1"/>
        <v/>
      </c>
      <c r="S83" t="str">
        <f ca="1"/>
        <v/>
      </c>
      <c r="T83" s="20" t="str">
        <v/>
      </c>
    </row>
    <row r="84" spans="1:20" ht="12.75">
      <c r="A84" s="11" t="str">
        <v>UPDATE DETAILS</v>
      </c>
      <c r="B84" s="11" t="str">
        <v>SET SCHEDULE</v>
      </c>
      <c r="C84" s="17" t="s">
        <v>571</v>
      </c>
      <c r="D84" s="17" t="s">
        <v>572</v>
      </c>
      <c r="E84" s="17" t="s">
        <v>520</v>
      </c>
      <c r="G84" t="str">
        <v xml:space="preserve">CMA Tribeca - 40 Worth Street - OB/GYN - </v>
      </c>
      <c r="H84" t="s">
        <v>138</v>
      </c>
      <c r="J84" s="17" t="s">
        <v>15</v>
      </c>
      <c r="K84" s="19" t="s">
        <v>137</v>
      </c>
      <c r="L84" s="17" t="s">
        <v>60</v>
      </c>
      <c r="M84" s="17" t="str">
        <f ca="1"/>
        <v>UNKNOWN</v>
      </c>
      <c r="N84" s="17" t="s">
        <v>15</v>
      </c>
      <c r="O84" s="13" t="str">
        <f ca="1"/>
        <v/>
      </c>
      <c r="P84" s="13" t="str">
        <f ca="1"/>
        <v/>
      </c>
      <c r="Q84" s="13" t="str">
        <f ca="1"/>
        <v/>
      </c>
      <c r="R84" s="17" t="str">
        <f ca="1"/>
        <v/>
      </c>
      <c r="S84" t="str">
        <f ca="1"/>
        <v/>
      </c>
      <c r="T84" s="20" t="str">
        <v/>
      </c>
    </row>
    <row r="85" spans="1:20" ht="12.75">
      <c r="A85" s="11" t="str">
        <v>UPDATE DETAILS</v>
      </c>
      <c r="B85" s="11" t="str">
        <v>SET SCHEDULE</v>
      </c>
      <c r="C85" s="17" t="s">
        <v>571</v>
      </c>
      <c r="D85" s="17" t="s">
        <v>572</v>
      </c>
      <c r="E85" s="17" t="s">
        <v>490</v>
      </c>
      <c r="G85" t="str">
        <v xml:space="preserve">CMA Tribeca - 40 Worth Street - PEDS - </v>
      </c>
      <c r="H85" t="s">
        <v>139</v>
      </c>
      <c r="J85" s="17" t="s">
        <v>15</v>
      </c>
      <c r="K85" s="19" t="s">
        <v>137</v>
      </c>
      <c r="L85" s="17" t="s">
        <v>60</v>
      </c>
      <c r="M85" s="17" t="str">
        <f ca="1"/>
        <v>UNKNOWN</v>
      </c>
      <c r="N85" s="17" t="s">
        <v>15</v>
      </c>
      <c r="O85" s="13" t="str">
        <f ca="1"/>
        <v/>
      </c>
      <c r="P85" s="13" t="str">
        <f ca="1"/>
        <v/>
      </c>
      <c r="Q85" s="13" t="str">
        <f ca="1"/>
        <v/>
      </c>
      <c r="R85" s="17" t="str">
        <f ca="1"/>
        <v/>
      </c>
      <c r="S85" t="str">
        <f ca="1"/>
        <v/>
      </c>
      <c r="T85" s="20" t="str">
        <v/>
      </c>
    </row>
    <row r="86" spans="1:20" ht="12.75">
      <c r="A86" s="11" t="str">
        <v>UPDATE DETAILS</v>
      </c>
      <c r="B86" s="11" t="str">
        <v>SET SCHEDULE</v>
      </c>
      <c r="F86" s="17" t="s">
        <v>376</v>
      </c>
      <c r="G86" t="str">
        <v xml:space="preserve">Coll, Raymond - </v>
      </c>
      <c r="H86" t="s">
        <v>376</v>
      </c>
      <c r="J86" s="17" t="s">
        <v>553</v>
      </c>
      <c r="K86" s="19" t="s">
        <v>377</v>
      </c>
      <c r="L86" s="17" t="s">
        <v>62</v>
      </c>
      <c r="M86" s="17" t="str">
        <f ca="1"/>
        <v>UNKNOWN</v>
      </c>
      <c r="N86" s="17" t="s">
        <v>15</v>
      </c>
      <c r="O86" s="13" t="str">
        <f ca="1"/>
        <v/>
      </c>
      <c r="P86" s="13" t="str">
        <f ca="1"/>
        <v/>
      </c>
      <c r="Q86" s="13" t="str">
        <f ca="1"/>
        <v/>
      </c>
      <c r="R86" s="17" t="str">
        <f ca="1"/>
        <v/>
      </c>
      <c r="S86" t="str">
        <f ca="1"/>
        <v/>
      </c>
      <c r="T86" s="20" t="str">
        <v/>
      </c>
    </row>
    <row r="87" spans="1:20" ht="12.75">
      <c r="A87" s="11" t="str">
        <v>UPDATE DETAILS</v>
      </c>
      <c r="B87" s="11" t="str">
        <v>SET SCHEDULE</v>
      </c>
      <c r="F87" s="17" t="s">
        <v>378</v>
      </c>
      <c r="G87" t="str">
        <v xml:space="preserve">Crawford, Carl - </v>
      </c>
      <c r="H87" t="s">
        <v>378</v>
      </c>
      <c r="I87" s="17"/>
      <c r="J87" s="17" t="s">
        <v>15</v>
      </c>
      <c r="K87" s="19">
        <v>15329</v>
      </c>
      <c r="L87" s="17" t="s">
        <v>62</v>
      </c>
      <c r="M87" s="17" t="str">
        <f ca="1"/>
        <v>UNKNOWN</v>
      </c>
      <c r="N87" s="17" t="s">
        <v>15</v>
      </c>
      <c r="O87" s="13" t="str">
        <f ca="1"/>
        <v/>
      </c>
      <c r="P87" s="13" t="str">
        <f ca="1"/>
        <v/>
      </c>
      <c r="Q87" s="13" t="str">
        <f ca="1"/>
        <v/>
      </c>
      <c r="R87" s="17" t="str">
        <f ca="1"/>
        <v/>
      </c>
      <c r="S87" t="str">
        <f ca="1"/>
        <v/>
      </c>
      <c r="T87" s="20" t="str">
        <v/>
      </c>
    </row>
    <row r="88" spans="1:20" ht="12.75">
      <c r="A88" s="11" t="str">
        <v>UPDATE DETAILS</v>
      </c>
      <c r="B88" s="11" t="str">
        <v>SET SCHEDULE</v>
      </c>
      <c r="F88" s="17" t="s">
        <v>379</v>
      </c>
      <c r="G88" t="str">
        <v xml:space="preserve">Creatura, Chris - </v>
      </c>
      <c r="H88" t="s">
        <v>379</v>
      </c>
      <c r="I88" s="17"/>
      <c r="J88" s="17" t="s">
        <v>15</v>
      </c>
      <c r="K88" s="19" t="s">
        <v>380</v>
      </c>
      <c r="L88" s="17" t="s">
        <v>62</v>
      </c>
      <c r="M88" s="17" t="str">
        <f ca="1"/>
        <v>UNKNOWN</v>
      </c>
      <c r="N88" s="17" t="s">
        <v>15</v>
      </c>
      <c r="O88" s="13" t="str">
        <f ca="1"/>
        <v/>
      </c>
      <c r="P88" s="13" t="str">
        <f ca="1"/>
        <v/>
      </c>
      <c r="Q88" s="13" t="str">
        <f ca="1"/>
        <v/>
      </c>
      <c r="R88" s="17" t="str">
        <f ca="1"/>
        <v/>
      </c>
      <c r="S88" t="str">
        <f ca="1"/>
        <v/>
      </c>
      <c r="T88" s="20" t="str">
        <v/>
      </c>
    </row>
    <row r="89" spans="1:20" ht="12.75">
      <c r="A89" s="11" t="str">
        <v>UPDATE DETAILS</v>
      </c>
      <c r="B89" s="11" t="str">
        <v>SET SCHEDULE</v>
      </c>
      <c r="C89" s="17" t="s">
        <v>574</v>
      </c>
      <c r="D89" s="17" t="s">
        <v>572</v>
      </c>
      <c r="F89" s="17" t="s">
        <v>492</v>
      </c>
      <c r="G89" t="str">
        <v xml:space="preserve">CRM - 40 Worth Street - [OFFICE] - </v>
      </c>
      <c r="H89" t="s">
        <v>96</v>
      </c>
      <c r="J89" s="17" t="s">
        <v>15</v>
      </c>
      <c r="K89" s="19" t="s">
        <v>97</v>
      </c>
      <c r="L89" s="17" t="s">
        <v>48</v>
      </c>
      <c r="M89" s="17" t="str">
        <f ca="1"/>
        <v>UNKNOWN</v>
      </c>
      <c r="N89" s="17" t="s">
        <v>15</v>
      </c>
      <c r="O89" s="13" t="str">
        <f ca="1"/>
        <v/>
      </c>
      <c r="P89" s="13" t="str">
        <f ca="1"/>
        <v/>
      </c>
      <c r="Q89" s="13" t="str">
        <f ca="1"/>
        <v/>
      </c>
      <c r="R89" s="17" t="str">
        <f ca="1"/>
        <v/>
      </c>
      <c r="S89" t="str">
        <f ca="1"/>
        <v/>
      </c>
      <c r="T89" s="20" t="str">
        <v/>
      </c>
    </row>
    <row r="90" spans="1:20" ht="12.75">
      <c r="A90" s="11" t="str">
        <v>UPDATE DETAILS</v>
      </c>
      <c r="B90" s="11" t="str">
        <v>SET SCHEDULE</v>
      </c>
      <c r="C90" s="17" t="s">
        <v>574</v>
      </c>
      <c r="D90" s="17" t="s">
        <v>572</v>
      </c>
      <c r="F90" s="17" t="s">
        <v>575</v>
      </c>
      <c r="G90" t="str">
        <v xml:space="preserve">CRM - 40 Worth Street - Pfeifer, Samantha - </v>
      </c>
      <c r="H90" t="s">
        <v>98</v>
      </c>
      <c r="I90" s="17"/>
      <c r="J90" s="17" t="s">
        <v>15</v>
      </c>
      <c r="K90" s="19" t="s">
        <v>97</v>
      </c>
      <c r="L90" s="17" t="s">
        <v>48</v>
      </c>
      <c r="M90" s="17" t="str">
        <f ca="1"/>
        <v>UNKNOWN</v>
      </c>
      <c r="N90" s="17" t="s">
        <v>15</v>
      </c>
      <c r="O90" s="13" t="str">
        <f ca="1"/>
        <v/>
      </c>
      <c r="P90" s="13" t="str">
        <f ca="1"/>
        <v/>
      </c>
      <c r="Q90" s="13" t="str">
        <f ca="1"/>
        <v/>
      </c>
      <c r="R90" s="17" t="str">
        <f ca="1"/>
        <v/>
      </c>
      <c r="S90" t="str">
        <f ca="1"/>
        <v/>
      </c>
      <c r="T90" s="20" t="str">
        <v/>
      </c>
    </row>
    <row r="91" spans="1:20" ht="12.75">
      <c r="A91" s="11" t="str">
        <v>UPDATE DETAILS</v>
      </c>
      <c r="B91" s="11" t="str">
        <v>SET SCHEDULE</v>
      </c>
      <c r="C91" s="17" t="s">
        <v>574</v>
      </c>
      <c r="D91" s="17" t="s">
        <v>572</v>
      </c>
      <c r="F91" s="17" t="s">
        <v>576</v>
      </c>
      <c r="G91" t="str">
        <v xml:space="preserve">CRM - 40 Worth Street - Reichman, D - </v>
      </c>
      <c r="H91" t="s">
        <v>99</v>
      </c>
      <c r="I91" s="17"/>
      <c r="J91" s="17" t="s">
        <v>15</v>
      </c>
      <c r="K91" s="19" t="s">
        <v>97</v>
      </c>
      <c r="L91" s="17" t="s">
        <v>48</v>
      </c>
      <c r="M91" s="17" t="str">
        <f ca="1"/>
        <v>UNKNOWN</v>
      </c>
      <c r="N91" s="17" t="s">
        <v>15</v>
      </c>
      <c r="O91" s="13" t="str">
        <f ca="1"/>
        <v/>
      </c>
      <c r="P91" s="13" t="str">
        <f ca="1"/>
        <v/>
      </c>
      <c r="Q91" s="13" t="str">
        <f ca="1"/>
        <v/>
      </c>
      <c r="R91" s="17" t="str">
        <f ca="1"/>
        <v/>
      </c>
      <c r="S91" t="str">
        <f ca="1"/>
        <v/>
      </c>
      <c r="T91" s="20" t="str">
        <v/>
      </c>
    </row>
    <row r="92" spans="1:20" ht="12.75">
      <c r="A92" s="11" t="str">
        <v>UPDATE DETAILS</v>
      </c>
      <c r="B92" s="11" t="str">
        <v>SET SCHEDULE</v>
      </c>
      <c r="F92" s="17" t="s">
        <v>78</v>
      </c>
      <c r="G92" t="str">
        <v xml:space="preserve">Cutler, Lawrence - </v>
      </c>
      <c r="H92" t="s">
        <v>78</v>
      </c>
      <c r="I92" s="17"/>
      <c r="J92" s="17" t="s">
        <v>15</v>
      </c>
      <c r="K92" s="19" t="s">
        <v>79</v>
      </c>
      <c r="L92" s="17" t="s">
        <v>50</v>
      </c>
      <c r="M92" s="17" t="str">
        <f ca="1"/>
        <v>UNKNOWN</v>
      </c>
      <c r="N92" s="17" t="s">
        <v>15</v>
      </c>
      <c r="O92" s="13" t="str">
        <f ca="1"/>
        <v/>
      </c>
      <c r="P92" s="13" t="str">
        <f ca="1"/>
        <v/>
      </c>
      <c r="Q92" s="13" t="str">
        <f ca="1"/>
        <v/>
      </c>
      <c r="R92" s="17" t="str">
        <f ca="1"/>
        <v/>
      </c>
      <c r="S92" s="17" t="str">
        <f ca="1"/>
        <v/>
      </c>
      <c r="T92" s="20" t="str">
        <v/>
      </c>
    </row>
    <row r="93" spans="1:20" ht="12.75">
      <c r="A93" s="11" t="str">
        <v>UPDATE DETAILS</v>
      </c>
      <c r="B93" s="11" t="str">
        <v>SET SCHEDULE</v>
      </c>
      <c r="F93" s="17" t="s">
        <v>291</v>
      </c>
      <c r="G93" t="str">
        <v xml:space="preserve">Dobrenis, Hockstein / Leonard - </v>
      </c>
      <c r="H93" t="s">
        <v>291</v>
      </c>
      <c r="I93" s="17"/>
      <c r="J93" s="17" t="s">
        <v>15</v>
      </c>
      <c r="K93" s="19" t="s">
        <v>292</v>
      </c>
      <c r="L93" s="17" t="s">
        <v>47</v>
      </c>
      <c r="M93" s="17" t="str">
        <f ca="1"/>
        <v>UNKNOWN</v>
      </c>
      <c r="N93" s="17" t="s">
        <v>15</v>
      </c>
      <c r="O93" s="13" t="str">
        <f ca="1"/>
        <v/>
      </c>
      <c r="P93" s="13" t="str">
        <f ca="1"/>
        <v/>
      </c>
      <c r="Q93" s="13" t="str">
        <f ca="1"/>
        <v/>
      </c>
      <c r="R93" s="17" t="str">
        <f ca="1"/>
        <v/>
      </c>
      <c r="S93" t="str">
        <f ca="1"/>
        <v/>
      </c>
      <c r="T93" s="20" t="str">
        <v/>
      </c>
    </row>
    <row r="94" spans="1:20" ht="12.75">
      <c r="A94" s="11" t="str">
        <v>UPDATE DETAILS</v>
      </c>
      <c r="B94" s="11" t="str">
        <v>SET SCHEDULE</v>
      </c>
      <c r="F94" s="17" t="s">
        <v>245</v>
      </c>
      <c r="G94" t="str">
        <v xml:space="preserve">Edlin, Brian - </v>
      </c>
      <c r="H94" t="s">
        <v>245</v>
      </c>
      <c r="I94" s="17"/>
      <c r="J94" s="17" t="s">
        <v>15</v>
      </c>
      <c r="K94" s="19" t="s">
        <v>246</v>
      </c>
      <c r="L94" s="17" t="s">
        <v>45</v>
      </c>
      <c r="M94" s="17" t="str">
        <f ca="1"/>
        <v>UNKNOWN</v>
      </c>
      <c r="N94" s="17" t="s">
        <v>15</v>
      </c>
      <c r="O94" s="13" t="str">
        <f ca="1"/>
        <v/>
      </c>
      <c r="P94" s="13" t="str">
        <f ca="1"/>
        <v/>
      </c>
      <c r="Q94" s="13" t="str">
        <f ca="1"/>
        <v/>
      </c>
      <c r="R94" s="17" t="str">
        <f ca="1"/>
        <v/>
      </c>
      <c r="S94" t="str">
        <f ca="1"/>
        <v/>
      </c>
      <c r="T94" s="20" t="str">
        <v/>
      </c>
    </row>
    <row r="95" spans="1:20" ht="12.75">
      <c r="A95" s="11" t="str">
        <v>UPDATE DETAILS</v>
      </c>
      <c r="B95" s="11" t="str">
        <v>SET SCHEDULE</v>
      </c>
      <c r="F95" s="17" t="s">
        <v>173</v>
      </c>
      <c r="G95" t="str">
        <v xml:space="preserve">Eid, F - </v>
      </c>
      <c r="H95" t="s">
        <v>173</v>
      </c>
      <c r="I95" s="17"/>
      <c r="J95" s="17" t="s">
        <v>15</v>
      </c>
      <c r="K95" s="19" t="s">
        <v>174</v>
      </c>
      <c r="L95" s="17" t="s">
        <v>57</v>
      </c>
      <c r="M95" s="17" t="str">
        <f ca="1"/>
        <v>UNKNOWN</v>
      </c>
      <c r="N95" s="17" t="s">
        <v>15</v>
      </c>
      <c r="O95" s="13" t="str">
        <f ca="1"/>
        <v/>
      </c>
      <c r="P95" s="13" t="str">
        <f ca="1"/>
        <v/>
      </c>
      <c r="Q95" s="13" t="str">
        <f ca="1"/>
        <v/>
      </c>
      <c r="R95" s="17" t="str">
        <f ca="1"/>
        <v/>
      </c>
      <c r="S95" t="str">
        <f ca="1"/>
        <v/>
      </c>
      <c r="T95" s="20" t="str">
        <v/>
      </c>
    </row>
    <row r="96" spans="1:20" ht="12.75">
      <c r="A96" s="11" t="str">
        <v>UPDATE DETAILS</v>
      </c>
      <c r="B96" s="11" t="str">
        <v>SET SCHEDULE</v>
      </c>
      <c r="F96" s="17" t="s">
        <v>381</v>
      </c>
      <c r="G96" t="str">
        <v xml:space="preserve">Feit, Lauren / Dr. Joseph Finkelstein - </v>
      </c>
      <c r="H96" t="s">
        <v>381</v>
      </c>
      <c r="J96" s="17" t="s">
        <v>15</v>
      </c>
      <c r="K96" s="19" t="s">
        <v>382</v>
      </c>
      <c r="L96" s="17" t="s">
        <v>62</v>
      </c>
      <c r="M96" s="17" t="str">
        <f ca="1"/>
        <v>UNKNOWN</v>
      </c>
      <c r="N96" s="17" t="s">
        <v>15</v>
      </c>
      <c r="O96" s="13" t="str">
        <f ca="1"/>
        <v/>
      </c>
      <c r="P96" s="13" t="str">
        <f ca="1"/>
        <v/>
      </c>
      <c r="Q96" s="13" t="str">
        <f ca="1"/>
        <v/>
      </c>
      <c r="R96" s="17" t="str">
        <f ca="1"/>
        <v/>
      </c>
      <c r="S96" s="17" t="str">
        <f ca="1"/>
        <v/>
      </c>
      <c r="T96" s="20" t="str">
        <v/>
      </c>
    </row>
    <row r="97" spans="1:20" ht="12.75">
      <c r="A97" s="11" t="str">
        <v>UPDATE DETAILS</v>
      </c>
      <c r="B97" s="11" t="str">
        <v>SET SCHEDULE</v>
      </c>
      <c r="C97" s="17" t="s">
        <v>577</v>
      </c>
      <c r="F97" s="17" t="s">
        <v>578</v>
      </c>
      <c r="G97" t="str">
        <v xml:space="preserve">Forest Hills - Moss, Edward - </v>
      </c>
      <c r="H97" t="s">
        <v>226</v>
      </c>
      <c r="J97" s="17" t="s">
        <v>15</v>
      </c>
      <c r="K97" s="19" t="s">
        <v>227</v>
      </c>
      <c r="L97" s="17" t="s">
        <v>225</v>
      </c>
      <c r="M97" s="17" t="str">
        <f ca="1"/>
        <v>UNKNOWN</v>
      </c>
      <c r="N97" s="17" t="s">
        <v>15</v>
      </c>
      <c r="O97" s="13" t="str">
        <f ca="1"/>
        <v/>
      </c>
      <c r="P97" s="13" t="str">
        <f ca="1"/>
        <v/>
      </c>
      <c r="Q97" s="13" t="str">
        <f ca="1"/>
        <v/>
      </c>
      <c r="R97" s="17" t="str">
        <f ca="1"/>
        <v/>
      </c>
      <c r="S97" s="17" t="str">
        <f ca="1"/>
        <v/>
      </c>
      <c r="T97" s="20" t="str">
        <v/>
      </c>
    </row>
    <row r="98" spans="1:20" ht="12.75">
      <c r="A98" s="11" t="str">
        <v>UPDATE DETAILS</v>
      </c>
      <c r="B98" s="11" t="str">
        <v>SET SCHEDULE</v>
      </c>
      <c r="F98" s="17" t="s">
        <v>24</v>
      </c>
      <c r="G98" t="str">
        <v xml:space="preserve">Fuchs, Richard  - </v>
      </c>
      <c r="H98" t="s">
        <v>24</v>
      </c>
      <c r="J98" s="17" t="s">
        <v>15</v>
      </c>
      <c r="K98" s="19" t="s">
        <v>25</v>
      </c>
      <c r="L98" s="17" t="s">
        <v>13</v>
      </c>
      <c r="M98" s="17" t="str">
        <f ca="1"/>
        <v>UNKNOWN</v>
      </c>
      <c r="N98" s="17" t="s">
        <v>15</v>
      </c>
      <c r="O98" s="13" t="str">
        <f ca="1"/>
        <v/>
      </c>
      <c r="P98" s="13" t="str">
        <f ca="1"/>
        <v/>
      </c>
      <c r="Q98" s="13" t="str">
        <f ca="1"/>
        <v/>
      </c>
      <c r="R98" s="17" t="str">
        <f ca="1"/>
        <v/>
      </c>
      <c r="S98" t="str">
        <f ca="1"/>
        <v/>
      </c>
      <c r="T98" s="20" t="str">
        <v/>
      </c>
    </row>
    <row r="99" spans="1:20" ht="12.75">
      <c r="A99" s="11" t="str">
        <v>UPDATE DETAILS</v>
      </c>
      <c r="B99" s="11" t="str">
        <v>SET SCHEDULE</v>
      </c>
      <c r="F99" s="17" t="s">
        <v>233</v>
      </c>
      <c r="G99" t="str">
        <v xml:space="preserve">Gelfand / Dr. Pastore - </v>
      </c>
      <c r="H99" t="s">
        <v>233</v>
      </c>
      <c r="J99" s="17" t="s">
        <v>15</v>
      </c>
      <c r="K99" s="19" t="s">
        <v>234</v>
      </c>
      <c r="L99" s="17" t="s">
        <v>54</v>
      </c>
      <c r="M99" s="17" t="str">
        <f ca="1"/>
        <v>UNKNOWN</v>
      </c>
      <c r="N99" s="17" t="s">
        <v>15</v>
      </c>
      <c r="O99" s="13" t="str">
        <f ca="1"/>
        <v/>
      </c>
      <c r="P99" s="13" t="str">
        <f ca="1"/>
        <v/>
      </c>
      <c r="Q99" s="13" t="str">
        <f ca="1"/>
        <v/>
      </c>
      <c r="R99" s="17" t="str">
        <f ca="1"/>
        <v/>
      </c>
      <c r="S99" t="str">
        <f ca="1"/>
        <v/>
      </c>
      <c r="T99" s="20" t="str">
        <v/>
      </c>
    </row>
    <row r="100" spans="1:20" ht="12.75">
      <c r="A100" s="11" t="str">
        <v>UPDATE DETAILS</v>
      </c>
      <c r="B100" s="11" t="str">
        <v>SET SCHEDULE</v>
      </c>
      <c r="F100" s="17" t="s">
        <v>26</v>
      </c>
      <c r="G100" t="str">
        <v xml:space="preserve">Gerardo Zullo / Dr. Michael  Zullo  - </v>
      </c>
      <c r="H100" t="s">
        <v>26</v>
      </c>
      <c r="J100" s="17" t="s">
        <v>15</v>
      </c>
      <c r="K100" s="19" t="s">
        <v>27</v>
      </c>
      <c r="L100" s="17" t="s">
        <v>13</v>
      </c>
      <c r="M100" s="17" t="str">
        <f ca="1"/>
        <v>UNKNOWN</v>
      </c>
      <c r="N100" s="17" t="s">
        <v>15</v>
      </c>
      <c r="O100" s="13" t="str">
        <f ca="1"/>
        <v/>
      </c>
      <c r="P100" s="13" t="str">
        <f ca="1"/>
        <v/>
      </c>
      <c r="Q100" s="13" t="str">
        <f ca="1"/>
        <v/>
      </c>
      <c r="R100" s="17" t="str">
        <f ca="1"/>
        <v/>
      </c>
      <c r="S100" t="str">
        <f ca="1"/>
        <v/>
      </c>
      <c r="T100" s="20" t="str">
        <v/>
      </c>
    </row>
    <row r="101" spans="1:20" ht="12.75">
      <c r="A101" s="11" t="str">
        <v>UPDATE DETAILS</v>
      </c>
      <c r="B101" s="11" t="str">
        <v>SET SCHEDULE</v>
      </c>
      <c r="F101" s="17" t="s">
        <v>383</v>
      </c>
      <c r="G101" t="str">
        <v xml:space="preserve">Girardi, Leonard - </v>
      </c>
      <c r="H101" t="s">
        <v>383</v>
      </c>
      <c r="J101" s="17" t="s">
        <v>553</v>
      </c>
      <c r="K101" s="19" t="s">
        <v>384</v>
      </c>
      <c r="L101" s="17" t="s">
        <v>62</v>
      </c>
      <c r="M101" s="17" t="str">
        <f ca="1"/>
        <v>UNKNOWN</v>
      </c>
      <c r="N101" s="17" t="s">
        <v>15</v>
      </c>
      <c r="O101" s="13" t="str">
        <f ca="1"/>
        <v/>
      </c>
      <c r="P101" s="13" t="str">
        <f ca="1"/>
        <v/>
      </c>
      <c r="Q101" s="13" t="str">
        <f ca="1"/>
        <v/>
      </c>
      <c r="R101" s="17" t="str">
        <f ca="1"/>
        <v/>
      </c>
      <c r="S101" t="str">
        <f ca="1"/>
        <v/>
      </c>
      <c r="T101" s="20" t="str">
        <v/>
      </c>
    </row>
    <row r="102" spans="1:20" ht="12.75">
      <c r="A102" s="11" t="str">
        <v>UPDATE DETAILS</v>
      </c>
      <c r="B102" s="11" t="str">
        <v>SET SCHEDULE</v>
      </c>
      <c r="F102" s="17" t="s">
        <v>28</v>
      </c>
      <c r="G102" t="str">
        <v xml:space="preserve">Golden, Flavia  - </v>
      </c>
      <c r="H102" t="s">
        <v>28</v>
      </c>
      <c r="J102" s="17" t="s">
        <v>15</v>
      </c>
      <c r="K102" s="19" t="s">
        <v>29</v>
      </c>
      <c r="L102" s="17" t="s">
        <v>13</v>
      </c>
      <c r="M102" s="17" t="str">
        <f ca="1"/>
        <v>UNKNOWN</v>
      </c>
      <c r="N102" s="17" t="s">
        <v>15</v>
      </c>
      <c r="O102" s="13" t="str">
        <f ca="1"/>
        <v/>
      </c>
      <c r="P102" s="13" t="str">
        <f ca="1"/>
        <v/>
      </c>
      <c r="Q102" s="13" t="str">
        <f ca="1"/>
        <v/>
      </c>
      <c r="R102" s="17" t="str">
        <f ca="1"/>
        <v/>
      </c>
      <c r="S102" t="str">
        <f ca="1"/>
        <v/>
      </c>
      <c r="T102" s="20" t="str">
        <v/>
      </c>
    </row>
    <row r="103" spans="1:20" ht="12.75">
      <c r="A103" s="11" t="str">
        <v>UPDATE DETAILS</v>
      </c>
      <c r="B103" s="11" t="str">
        <v>SET SCHEDULE</v>
      </c>
      <c r="F103" s="17" t="s">
        <v>385</v>
      </c>
      <c r="G103" t="str">
        <v xml:space="preserve">Goldin, Daniel - </v>
      </c>
      <c r="H103" t="s">
        <v>385</v>
      </c>
      <c r="J103" s="17" t="s">
        <v>15</v>
      </c>
      <c r="K103" s="19" t="s">
        <v>386</v>
      </c>
      <c r="L103" s="17" t="s">
        <v>62</v>
      </c>
      <c r="M103" s="17" t="str">
        <f ca="1"/>
        <v>UNKNOWN</v>
      </c>
      <c r="N103" s="17" t="s">
        <v>15</v>
      </c>
      <c r="O103" s="13" t="str">
        <f ca="1"/>
        <v/>
      </c>
      <c r="P103" s="13" t="str">
        <f ca="1"/>
        <v/>
      </c>
      <c r="Q103" s="13" t="str">
        <f ca="1"/>
        <v/>
      </c>
      <c r="R103" s="17" t="str">
        <f ca="1"/>
        <v/>
      </c>
      <c r="S103" t="str">
        <f ca="1"/>
        <v/>
      </c>
      <c r="T103" s="20" t="str">
        <v/>
      </c>
    </row>
    <row r="104" spans="1:20" ht="12.75">
      <c r="A104" s="11" t="str">
        <v>UPDATE DETAILS</v>
      </c>
      <c r="B104" s="11" t="str">
        <v>SET SCHEDULE</v>
      </c>
      <c r="F104" s="17" t="s">
        <v>266</v>
      </c>
      <c r="G104" t="str">
        <v xml:space="preserve">Gotto, Antonio - </v>
      </c>
      <c r="H104" t="s">
        <v>266</v>
      </c>
      <c r="J104" s="17" t="s">
        <v>15</v>
      </c>
      <c r="K104" s="19" t="s">
        <v>267</v>
      </c>
      <c r="L104" s="17" t="s">
        <v>61</v>
      </c>
      <c r="M104" s="17" t="str">
        <f ca="1"/>
        <v>UNKNOWN</v>
      </c>
      <c r="N104" s="17" t="s">
        <v>15</v>
      </c>
      <c r="O104" s="13" t="str">
        <f ca="1"/>
        <v/>
      </c>
      <c r="P104" s="13" t="str">
        <f ca="1"/>
        <v/>
      </c>
      <c r="Q104" s="13" t="str">
        <f ca="1"/>
        <v/>
      </c>
      <c r="R104" s="17" t="str">
        <f ca="1"/>
        <v/>
      </c>
      <c r="S104" t="str">
        <f ca="1"/>
        <v/>
      </c>
      <c r="T104" s="20" t="str">
        <v/>
      </c>
    </row>
    <row r="105" spans="1:20" ht="12.75">
      <c r="A105" s="11" t="str">
        <v>UPDATE DETAILS</v>
      </c>
      <c r="B105" s="11" t="str">
        <v>SET SCHEDULE</v>
      </c>
      <c r="C105" s="17" t="s">
        <v>80</v>
      </c>
      <c r="G105" t="str">
        <v xml:space="preserve">Gracie Square Hospital - </v>
      </c>
      <c r="H105" t="s">
        <v>80</v>
      </c>
      <c r="J105" s="17" t="s">
        <v>15</v>
      </c>
      <c r="K105" s="19" t="s">
        <v>81</v>
      </c>
      <c r="L105" s="17" t="s">
        <v>50</v>
      </c>
      <c r="M105" s="17" t="str">
        <f ca="1"/>
        <v>UNKNOWN</v>
      </c>
      <c r="N105" s="17" t="s">
        <v>15</v>
      </c>
      <c r="O105" s="21" t="str">
        <f ca="1"/>
        <v/>
      </c>
      <c r="P105" s="21" t="str">
        <f ca="1"/>
        <v/>
      </c>
      <c r="Q105" s="21" t="str">
        <f ca="1"/>
        <v/>
      </c>
      <c r="R105" s="17" t="str">
        <f ca="1"/>
        <v/>
      </c>
      <c r="S105" s="17" t="str">
        <f ca="1"/>
        <v/>
      </c>
      <c r="T105" s="20" t="str">
        <v/>
      </c>
    </row>
    <row r="106" spans="1:20" ht="12.75">
      <c r="A106" s="11" t="str">
        <v>UPDATE DETAILS</v>
      </c>
      <c r="B106" s="11" t="str">
        <v>SET SCHEDULE</v>
      </c>
      <c r="F106" s="17" t="s">
        <v>30</v>
      </c>
      <c r="G106" t="str">
        <v xml:space="preserve">Gubernick, Martin / Roth, Desider - </v>
      </c>
      <c r="H106" t="s">
        <v>30</v>
      </c>
      <c r="I106" s="17"/>
      <c r="J106" s="17" t="s">
        <v>15</v>
      </c>
      <c r="K106" s="19" t="s">
        <v>31</v>
      </c>
      <c r="L106" s="17" t="s">
        <v>13</v>
      </c>
      <c r="M106" s="17" t="str">
        <f ca="1"/>
        <v>UNKNOWN</v>
      </c>
      <c r="N106" s="17" t="s">
        <v>15</v>
      </c>
      <c r="O106" s="13" t="str">
        <f ca="1"/>
        <v/>
      </c>
      <c r="P106" s="13" t="str">
        <f ca="1"/>
        <v/>
      </c>
      <c r="Q106" s="13" t="str">
        <f ca="1"/>
        <v/>
      </c>
      <c r="R106" s="17" t="str">
        <f ca="1"/>
        <v/>
      </c>
      <c r="S106" t="str">
        <f ca="1"/>
        <v/>
      </c>
      <c r="T106" s="20" t="str">
        <v/>
      </c>
    </row>
    <row r="107" spans="1:20" ht="12.75">
      <c r="A107" s="11" t="str">
        <v>UPDATE DETAILS</v>
      </c>
      <c r="B107" s="11" t="str">
        <v>SET SCHEDULE</v>
      </c>
      <c r="C107" s="17" t="s">
        <v>387</v>
      </c>
      <c r="G107" t="str">
        <v xml:space="preserve">HEMO ONC - ST 341 - </v>
      </c>
      <c r="H107" t="s">
        <v>387</v>
      </c>
      <c r="J107" s="17" t="s">
        <v>15</v>
      </c>
      <c r="K107" s="19" t="s">
        <v>388</v>
      </c>
      <c r="L107" s="17" t="s">
        <v>62</v>
      </c>
      <c r="M107" s="17" t="str">
        <f ca="1"/>
        <v>UNKNOWN</v>
      </c>
      <c r="N107" s="17" t="s">
        <v>15</v>
      </c>
      <c r="O107" s="13" t="str">
        <f ca="1"/>
        <v/>
      </c>
      <c r="P107" s="13" t="str">
        <f ca="1"/>
        <v/>
      </c>
      <c r="Q107" s="13" t="str">
        <f ca="1"/>
        <v/>
      </c>
      <c r="R107" s="17" t="str">
        <f ca="1"/>
        <v/>
      </c>
      <c r="S107" t="str">
        <f ca="1"/>
        <v/>
      </c>
      <c r="T107" s="20" t="str">
        <v/>
      </c>
    </row>
    <row r="108" spans="1:20" ht="12.75">
      <c r="A108" s="11" t="str">
        <v>UPDATE DETAILS</v>
      </c>
      <c r="B108" s="11" t="str">
        <v>SET SCHEDULE</v>
      </c>
      <c r="F108" s="17" t="s">
        <v>302</v>
      </c>
      <c r="G108" t="str">
        <v xml:space="preserve">Herzog, Ronit  - </v>
      </c>
      <c r="H108" t="s">
        <v>302</v>
      </c>
      <c r="J108" s="17" t="s">
        <v>15</v>
      </c>
      <c r="K108" s="19" t="s">
        <v>303</v>
      </c>
      <c r="L108" s="17" t="s">
        <v>53</v>
      </c>
      <c r="M108" s="17" t="str">
        <f ca="1"/>
        <v>UNKNOWN</v>
      </c>
      <c r="N108" s="17" t="s">
        <v>15</v>
      </c>
      <c r="O108" s="13" t="str">
        <f ca="1"/>
        <v/>
      </c>
      <c r="P108" s="13" t="str">
        <f ca="1"/>
        <v/>
      </c>
      <c r="Q108" s="13" t="str">
        <f ca="1"/>
        <v/>
      </c>
      <c r="R108" s="17" t="str">
        <f ca="1"/>
        <v/>
      </c>
      <c r="S108" t="str">
        <f ca="1"/>
        <v/>
      </c>
      <c r="T108" s="20" t="str">
        <v/>
      </c>
    </row>
    <row r="109" spans="1:20" ht="12.75">
      <c r="A109" s="11" t="str">
        <v>UPDATE DETAILS</v>
      </c>
      <c r="B109" s="11" t="str">
        <v>SET SCHEDULE</v>
      </c>
      <c r="F109" s="17" t="s">
        <v>389</v>
      </c>
      <c r="G109" t="str">
        <v xml:space="preserve">Hochreiter, Clair - </v>
      </c>
      <c r="H109" t="s">
        <v>389</v>
      </c>
      <c r="I109" s="17"/>
      <c r="J109" s="17" t="s">
        <v>15</v>
      </c>
      <c r="K109" s="19" t="s">
        <v>390</v>
      </c>
      <c r="L109" s="17" t="s">
        <v>62</v>
      </c>
      <c r="M109" s="17" t="str">
        <f ca="1"/>
        <v>UNKNOWN</v>
      </c>
      <c r="N109" s="17" t="s">
        <v>15</v>
      </c>
      <c r="O109" s="13" t="str">
        <f ca="1"/>
        <v/>
      </c>
      <c r="P109" s="13" t="str">
        <f ca="1"/>
        <v/>
      </c>
      <c r="Q109" s="13" t="str">
        <f ca="1"/>
        <v/>
      </c>
      <c r="R109" s="17" t="str">
        <f ca="1"/>
        <v/>
      </c>
      <c r="S109" t="str">
        <f ca="1"/>
        <v/>
      </c>
      <c r="T109" s="20" t="str">
        <v/>
      </c>
    </row>
    <row r="110" spans="1:20" ht="12.75">
      <c r="A110" s="11" t="str">
        <v>UPDATE DETAILS</v>
      </c>
      <c r="B110" s="11" t="str">
        <v>SET SCHEDULE</v>
      </c>
      <c r="F110" s="17" t="s">
        <v>391</v>
      </c>
      <c r="G110" t="str">
        <v xml:space="preserve">Hoffman, Lloyd - </v>
      </c>
      <c r="H110" t="s">
        <v>391</v>
      </c>
      <c r="J110" s="17" t="s">
        <v>15</v>
      </c>
      <c r="K110" s="19" t="s">
        <v>392</v>
      </c>
      <c r="L110" s="17" t="s">
        <v>62</v>
      </c>
      <c r="M110" s="17" t="str">
        <f ca="1"/>
        <v>UNKNOWN</v>
      </c>
      <c r="N110" s="17" t="s">
        <v>15</v>
      </c>
      <c r="O110" s="13" t="str">
        <f ca="1"/>
        <v/>
      </c>
      <c r="P110" s="13" t="str">
        <f ca="1"/>
        <v/>
      </c>
      <c r="Q110" s="13" t="str">
        <f ca="1"/>
        <v/>
      </c>
      <c r="R110" s="17" t="str">
        <f ca="1"/>
        <v/>
      </c>
      <c r="S110" t="str">
        <f ca="1"/>
        <v/>
      </c>
      <c r="T110" s="20" t="str">
        <v/>
      </c>
    </row>
    <row r="111" spans="1:20" ht="12.75">
      <c r="A111" s="11" t="str">
        <v>UPDATE DETAILS</v>
      </c>
      <c r="B111" s="11" t="str">
        <v>SET SCHEDULE</v>
      </c>
      <c r="C111" s="17" t="s">
        <v>238</v>
      </c>
      <c r="G111" t="str">
        <v xml:space="preserve">Horizon Medical Group - WCPN - </v>
      </c>
      <c r="H111" t="s">
        <v>238</v>
      </c>
      <c r="J111" s="17" t="s">
        <v>15</v>
      </c>
      <c r="K111" s="19" t="s">
        <v>239</v>
      </c>
      <c r="L111" s="17" t="s">
        <v>240</v>
      </c>
      <c r="M111" s="17" t="str">
        <f ca="1"/>
        <v>UNKNOWN</v>
      </c>
      <c r="N111" s="17" t="s">
        <v>15</v>
      </c>
      <c r="O111" s="13" t="str">
        <f ca="1"/>
        <v/>
      </c>
      <c r="P111" s="13" t="str">
        <f ca="1"/>
        <v/>
      </c>
      <c r="Q111" s="13" t="str">
        <f ca="1"/>
        <v/>
      </c>
      <c r="R111" s="17" t="str">
        <f ca="1"/>
        <v/>
      </c>
      <c r="S111" t="str">
        <f ca="1"/>
        <v/>
      </c>
      <c r="T111" s="20" t="str">
        <v/>
      </c>
    </row>
    <row r="112" spans="1:20" ht="12.75">
      <c r="A112" s="11" t="str">
        <v>UPDATE DETAILS</v>
      </c>
      <c r="B112" s="11" t="str">
        <v>SET SCHEDULE</v>
      </c>
      <c r="C112" s="17" t="s">
        <v>579</v>
      </c>
      <c r="F112" s="17" t="s">
        <v>580</v>
      </c>
      <c r="G112" t="str">
        <v xml:space="preserve">HSS - Lane, Joseph - </v>
      </c>
      <c r="H112" t="s">
        <v>393</v>
      </c>
      <c r="J112" s="17" t="s">
        <v>553</v>
      </c>
      <c r="K112" s="19" t="s">
        <v>394</v>
      </c>
      <c r="L112" s="17" t="s">
        <v>62</v>
      </c>
      <c r="M112" s="17" t="str">
        <f ca="1"/>
        <v>UNKNOWN</v>
      </c>
      <c r="N112" s="17" t="s">
        <v>15</v>
      </c>
      <c r="O112" s="13" t="str">
        <f ca="1"/>
        <v/>
      </c>
      <c r="P112" s="13" t="str">
        <f ca="1"/>
        <v/>
      </c>
      <c r="Q112" s="13" t="str">
        <f ca="1"/>
        <v/>
      </c>
      <c r="R112" s="17" t="str">
        <f ca="1"/>
        <v/>
      </c>
      <c r="S112" t="str">
        <f ca="1"/>
        <v/>
      </c>
      <c r="T112" s="20" t="str">
        <v/>
      </c>
    </row>
    <row r="113" spans="1:20" ht="12.75">
      <c r="A113" s="11" t="str">
        <v>UPDATE DETAILS</v>
      </c>
      <c r="B113" s="11" t="str">
        <v>SET SCHEDULE</v>
      </c>
      <c r="C113" s="17" t="s">
        <v>100</v>
      </c>
      <c r="G113" t="str">
        <v xml:space="preserve">HT - 213 - </v>
      </c>
      <c r="H113" t="s">
        <v>100</v>
      </c>
      <c r="J113" s="17" t="s">
        <v>15</v>
      </c>
      <c r="K113" s="19" t="s">
        <v>101</v>
      </c>
      <c r="L113" s="17" t="s">
        <v>48</v>
      </c>
      <c r="M113" s="17" t="str">
        <f ca="1"/>
        <v>UNKNOWN</v>
      </c>
      <c r="N113" s="17" t="s">
        <v>15</v>
      </c>
      <c r="O113" s="13" t="str">
        <f ca="1"/>
        <v/>
      </c>
      <c r="P113" s="13" t="str">
        <f ca="1"/>
        <v/>
      </c>
      <c r="Q113" s="13" t="str">
        <f ca="1"/>
        <v/>
      </c>
      <c r="R113" s="17" t="str">
        <f ca="1"/>
        <v/>
      </c>
      <c r="S113" t="str">
        <f ca="1"/>
        <v/>
      </c>
      <c r="T113" s="20" t="str">
        <v/>
      </c>
    </row>
    <row r="114" spans="1:20" ht="12.75">
      <c r="A114" s="11" t="str">
        <v>UPDATE DETAILS</v>
      </c>
      <c r="B114" s="11" t="str">
        <v>SET SCHEDULE</v>
      </c>
      <c r="C114" s="17" t="s">
        <v>102</v>
      </c>
      <c r="G114" t="str">
        <v xml:space="preserve">HT - 230  POST TRANSPLANT - </v>
      </c>
      <c r="H114" t="s">
        <v>102</v>
      </c>
      <c r="J114" s="17" t="s">
        <v>15</v>
      </c>
      <c r="K114" s="19" t="s">
        <v>103</v>
      </c>
      <c r="L114" s="17" t="s">
        <v>48</v>
      </c>
      <c r="M114" s="17" t="str">
        <f ca="1"/>
        <v>UNKNOWN</v>
      </c>
      <c r="N114" s="17" t="s">
        <v>15</v>
      </c>
      <c r="O114" s="13" t="str">
        <f ca="1"/>
        <v/>
      </c>
      <c r="P114" s="13" t="str">
        <f ca="1"/>
        <v/>
      </c>
      <c r="Q114" s="13" t="str">
        <f ca="1"/>
        <v/>
      </c>
      <c r="R114" s="17" t="str">
        <f ca="1"/>
        <v/>
      </c>
      <c r="S114" t="str">
        <f ca="1"/>
        <v/>
      </c>
      <c r="T114" s="20" t="str">
        <v/>
      </c>
    </row>
    <row r="115" spans="1:20" ht="12.75">
      <c r="A115" s="11" t="str">
        <v>UPDATE DETAILS</v>
      </c>
      <c r="B115" s="11" t="str">
        <v>SET SCHEDULE</v>
      </c>
      <c r="C115" s="17" t="s">
        <v>304</v>
      </c>
      <c r="G115" t="str">
        <v xml:space="preserve">HT - 3  PEDS - </v>
      </c>
      <c r="H115" t="s">
        <v>304</v>
      </c>
      <c r="J115" s="17" t="s">
        <v>15</v>
      </c>
      <c r="K115" s="19" t="s">
        <v>305</v>
      </c>
      <c r="L115" s="17" t="s">
        <v>53</v>
      </c>
      <c r="M115" s="17" t="str">
        <f ca="1"/>
        <v>UNKNOWN</v>
      </c>
      <c r="N115" s="17" t="s">
        <v>15</v>
      </c>
      <c r="O115" s="13" t="str">
        <f ca="1"/>
        <v/>
      </c>
      <c r="P115" s="13" t="str">
        <f ca="1"/>
        <v/>
      </c>
      <c r="Q115" s="13" t="str">
        <f ca="1"/>
        <v/>
      </c>
      <c r="R115" s="17" t="str">
        <f ca="1"/>
        <v/>
      </c>
      <c r="S115" t="str">
        <f ca="1"/>
        <v/>
      </c>
      <c r="T115" s="20" t="str">
        <v/>
      </c>
    </row>
    <row r="116" spans="1:20" ht="12.75">
      <c r="A116" s="11" t="str">
        <v>UPDATE DETAILS</v>
      </c>
      <c r="B116" s="11" t="str">
        <v>SET SCHEDULE</v>
      </c>
      <c r="C116" s="17" t="s">
        <v>395</v>
      </c>
      <c r="G116" t="str">
        <v xml:space="preserve">HT - 4  - </v>
      </c>
      <c r="H116" t="s">
        <v>395</v>
      </c>
      <c r="J116" s="17" t="s">
        <v>15</v>
      </c>
      <c r="K116" s="19" t="s">
        <v>396</v>
      </c>
      <c r="L116" s="17" t="s">
        <v>62</v>
      </c>
      <c r="M116" s="17" t="str">
        <f ca="1"/>
        <v>UNKNOWN</v>
      </c>
      <c r="N116" s="17" t="s">
        <v>15</v>
      </c>
      <c r="O116" s="13" t="str">
        <f ca="1"/>
        <v/>
      </c>
      <c r="P116" s="13" t="str">
        <f ca="1"/>
        <v/>
      </c>
      <c r="Q116" s="13" t="str">
        <f ca="1"/>
        <v/>
      </c>
      <c r="R116" s="17" t="str">
        <f ca="1"/>
        <v/>
      </c>
      <c r="S116" t="str">
        <f ca="1"/>
        <v/>
      </c>
      <c r="T116" s="20" t="str">
        <v/>
      </c>
    </row>
    <row r="117" spans="1:20" ht="12.75">
      <c r="A117" s="11" t="str">
        <v>UPDATE DETAILS</v>
      </c>
      <c r="B117" s="11" t="str">
        <v>SET SCHEDULE</v>
      </c>
      <c r="C117" s="17" t="s">
        <v>397</v>
      </c>
      <c r="G117" t="str">
        <v xml:space="preserve">HT - 5 PEDS - </v>
      </c>
      <c r="H117" t="s">
        <v>397</v>
      </c>
      <c r="J117" s="17" t="s">
        <v>15</v>
      </c>
      <c r="K117" s="19" t="s">
        <v>398</v>
      </c>
      <c r="L117" s="17" t="s">
        <v>62</v>
      </c>
      <c r="M117" s="17" t="str">
        <f ca="1"/>
        <v>UNKNOWN</v>
      </c>
      <c r="N117" s="17" t="s">
        <v>15</v>
      </c>
      <c r="O117" s="13" t="str">
        <f ca="1"/>
        <v/>
      </c>
      <c r="P117" s="13" t="str">
        <f ca="1"/>
        <v/>
      </c>
      <c r="Q117" s="13" t="str">
        <f ca="1"/>
        <v/>
      </c>
      <c r="R117" s="17" t="str">
        <f ca="1"/>
        <v/>
      </c>
      <c r="S117" t="str">
        <f ca="1"/>
        <v/>
      </c>
      <c r="T117" s="20" t="str">
        <v/>
      </c>
    </row>
    <row r="118" spans="1:20" ht="12.75">
      <c r="A118" s="11" t="str">
        <v>UPDATE DETAILS</v>
      </c>
      <c r="B118" s="11" t="str">
        <v>SET SCHEDULE</v>
      </c>
      <c r="C118" s="17" t="s">
        <v>399</v>
      </c>
      <c r="G118" t="str">
        <v xml:space="preserve">HT - 560 OB/GYN - </v>
      </c>
      <c r="H118" t="s">
        <v>399</v>
      </c>
      <c r="J118" s="17" t="s">
        <v>15</v>
      </c>
      <c r="K118" s="19" t="s">
        <v>400</v>
      </c>
      <c r="L118" s="17" t="s">
        <v>62</v>
      </c>
      <c r="M118" s="17" t="str">
        <f ca="1"/>
        <v>UNKNOWN</v>
      </c>
      <c r="N118" s="17" t="s">
        <v>15</v>
      </c>
      <c r="O118" s="13" t="str">
        <f ca="1"/>
        <v/>
      </c>
      <c r="P118" s="13" t="str">
        <f ca="1"/>
        <v/>
      </c>
      <c r="Q118" s="13" t="str">
        <f ca="1"/>
        <v/>
      </c>
      <c r="R118" s="17" t="str">
        <f ca="1"/>
        <v/>
      </c>
      <c r="S118" t="str">
        <f ca="1"/>
        <v/>
      </c>
      <c r="T118" s="20" t="str">
        <v/>
      </c>
    </row>
    <row r="119" spans="1:20" ht="12.75">
      <c r="A119" s="11" t="str">
        <v>UPDATE DETAILS</v>
      </c>
      <c r="B119" s="11" t="str">
        <v>SET SCHEDULE</v>
      </c>
      <c r="F119" s="17" t="s">
        <v>33</v>
      </c>
      <c r="G119" t="str">
        <v xml:space="preserve">Hutson, Milton - </v>
      </c>
      <c r="H119" t="s">
        <v>33</v>
      </c>
      <c r="I119" s="17"/>
      <c r="J119" s="17" t="s">
        <v>15</v>
      </c>
      <c r="K119" s="19" t="s">
        <v>34</v>
      </c>
      <c r="L119" s="17" t="s">
        <v>13</v>
      </c>
      <c r="M119" s="17" t="str">
        <f ca="1"/>
        <v>UNKNOWN</v>
      </c>
      <c r="N119" s="17" t="s">
        <v>15</v>
      </c>
      <c r="O119" s="13" t="str">
        <f ca="1"/>
        <v/>
      </c>
      <c r="P119" s="13" t="str">
        <f ca="1"/>
        <v/>
      </c>
      <c r="Q119" s="13" t="str">
        <f ca="1"/>
        <v/>
      </c>
      <c r="R119" s="17" t="str">
        <f ca="1"/>
        <v/>
      </c>
      <c r="S119" t="str">
        <f ca="1"/>
        <v/>
      </c>
      <c r="T119" s="20" t="str">
        <v/>
      </c>
    </row>
    <row r="120" spans="1:20" ht="12.75">
      <c r="A120" s="11" t="str">
        <v>UPDATE DETAILS</v>
      </c>
      <c r="B120" s="11" t="str">
        <v>SET SCHEDULE</v>
      </c>
      <c r="E120" s="17" t="s">
        <v>401</v>
      </c>
      <c r="G120" t="str">
        <v xml:space="preserve">HYPERTENSION - </v>
      </c>
      <c r="H120" t="s">
        <v>401</v>
      </c>
      <c r="J120" s="17" t="s">
        <v>15</v>
      </c>
      <c r="K120" s="19" t="s">
        <v>402</v>
      </c>
      <c r="L120" s="17" t="s">
        <v>62</v>
      </c>
      <c r="M120" s="17" t="str">
        <f ca="1"/>
        <v>UNKNOWN</v>
      </c>
      <c r="N120" s="17" t="s">
        <v>15</v>
      </c>
      <c r="O120" s="13" t="str">
        <f ca="1"/>
        <v/>
      </c>
      <c r="P120" s="13" t="str">
        <f ca="1"/>
        <v/>
      </c>
      <c r="Q120" s="13" t="str">
        <f ca="1"/>
        <v/>
      </c>
      <c r="R120" s="17" t="str">
        <f ca="1"/>
        <v/>
      </c>
      <c r="S120" t="str">
        <f ca="1"/>
        <v/>
      </c>
      <c r="T120" s="20" t="str">
        <v/>
      </c>
    </row>
    <row r="121" spans="1:20" ht="12.75">
      <c r="A121" s="11" t="str">
        <v>UPDATE DETAILS</v>
      </c>
      <c r="B121" s="11" t="str">
        <v>SET SCHEDULE</v>
      </c>
      <c r="F121" s="17" t="s">
        <v>268</v>
      </c>
      <c r="G121" t="str">
        <v xml:space="preserve">Ianni, Rosa / Bassem Masri - </v>
      </c>
      <c r="H121" t="s">
        <v>268</v>
      </c>
      <c r="J121" s="17" t="s">
        <v>15</v>
      </c>
      <c r="K121" s="19" t="s">
        <v>267</v>
      </c>
      <c r="L121" s="17" t="s">
        <v>61</v>
      </c>
      <c r="M121" s="17" t="str">
        <f ca="1"/>
        <v>UNKNOWN</v>
      </c>
      <c r="N121" s="17" t="s">
        <v>15</v>
      </c>
      <c r="O121" s="13" t="str">
        <f ca="1"/>
        <v/>
      </c>
      <c r="P121" s="13" t="str">
        <f ca="1"/>
        <v/>
      </c>
      <c r="Q121" s="13" t="str">
        <f ca="1"/>
        <v/>
      </c>
      <c r="R121" s="17" t="str">
        <f ca="1"/>
        <v/>
      </c>
      <c r="S121" t="str">
        <f ca="1"/>
        <v/>
      </c>
      <c r="T121" s="20" t="str">
        <v/>
      </c>
    </row>
    <row r="122" spans="1:20" ht="12.75">
      <c r="A122" s="11" t="str">
        <v>UPDATE DETAILS</v>
      </c>
      <c r="B122" s="11" t="str">
        <v>SET SCHEDULE</v>
      </c>
      <c r="C122" s="17" t="s">
        <v>112</v>
      </c>
      <c r="G122" t="str">
        <v xml:space="preserve">J-130 - </v>
      </c>
      <c r="H122" t="s">
        <v>112</v>
      </c>
      <c r="J122" s="17" t="s">
        <v>15</v>
      </c>
      <c r="K122" s="19" t="s">
        <v>113</v>
      </c>
      <c r="L122" s="17" t="s">
        <v>55</v>
      </c>
      <c r="M122" s="17" t="str">
        <f ca="1"/>
        <v>UNKNOWN</v>
      </c>
      <c r="N122" s="17" t="s">
        <v>15</v>
      </c>
      <c r="O122" s="13" t="str">
        <f ca="1"/>
        <v/>
      </c>
      <c r="P122" s="13" t="str">
        <f ca="1"/>
        <v/>
      </c>
      <c r="Q122" s="13" t="str">
        <f ca="1"/>
        <v/>
      </c>
      <c r="R122" s="17" t="str">
        <f ca="1"/>
        <v/>
      </c>
      <c r="S122" t="str">
        <f ca="1"/>
        <v/>
      </c>
      <c r="T122" s="20" t="str">
        <v/>
      </c>
    </row>
    <row r="123" spans="1:20" ht="12.75">
      <c r="A123" s="11" t="str">
        <v>UPDATE DETAILS</v>
      </c>
      <c r="B123" s="11" t="str">
        <v>SET SCHEDULE</v>
      </c>
      <c r="C123" s="17" t="s">
        <v>104</v>
      </c>
      <c r="G123" t="str">
        <v xml:space="preserve">JACK DREYFUS CLINIC  - </v>
      </c>
      <c r="H123" t="s">
        <v>104</v>
      </c>
      <c r="J123" s="17" t="s">
        <v>15</v>
      </c>
      <c r="K123" s="19" t="s">
        <v>105</v>
      </c>
      <c r="L123" s="17" t="s">
        <v>48</v>
      </c>
      <c r="M123" s="17" t="str">
        <f ca="1"/>
        <v>UNKNOWN</v>
      </c>
      <c r="N123" s="17" t="s">
        <v>15</v>
      </c>
      <c r="O123" s="13" t="str">
        <f ca="1"/>
        <v/>
      </c>
      <c r="P123" s="13" t="str">
        <f ca="1"/>
        <v/>
      </c>
      <c r="Q123" s="13" t="str">
        <f ca="1"/>
        <v/>
      </c>
      <c r="R123" s="17" t="str">
        <f ca="1"/>
        <v/>
      </c>
      <c r="S123" t="str">
        <f ca="1"/>
        <v/>
      </c>
      <c r="T123" s="20" t="str">
        <v/>
      </c>
    </row>
    <row r="124" spans="1:20" ht="12.75">
      <c r="A124" s="11" t="str">
        <v>UPDATE DETAILS</v>
      </c>
      <c r="B124" s="11" t="str">
        <v>SET SCHEDULE</v>
      </c>
      <c r="F124" s="17" t="s">
        <v>403</v>
      </c>
      <c r="G124" t="str">
        <v xml:space="preserve">Jacobs, Jonathan - </v>
      </c>
      <c r="H124" t="s">
        <v>403</v>
      </c>
      <c r="J124" s="17" t="s">
        <v>15</v>
      </c>
      <c r="K124" s="19" t="s">
        <v>404</v>
      </c>
      <c r="L124" s="17" t="s">
        <v>62</v>
      </c>
      <c r="M124" s="17" t="str">
        <f ca="1"/>
        <v>UNKNOWN</v>
      </c>
      <c r="N124" s="17" t="s">
        <v>15</v>
      </c>
      <c r="O124" s="13" t="str">
        <f ca="1"/>
        <v/>
      </c>
      <c r="P124" s="13" t="str">
        <f ca="1"/>
        <v/>
      </c>
      <c r="Q124" s="13" t="str">
        <f ca="1"/>
        <v/>
      </c>
      <c r="R124" s="17" t="str">
        <f ca="1"/>
        <v/>
      </c>
      <c r="S124" t="str">
        <f ca="1"/>
        <v/>
      </c>
      <c r="T124" s="20" t="str">
        <v/>
      </c>
    </row>
    <row r="125" spans="1:20" ht="12.75">
      <c r="A125" s="11" t="str">
        <v>UPDATE DETAILS</v>
      </c>
      <c r="B125" s="11" t="str">
        <v>SET SCHEDULE</v>
      </c>
      <c r="F125" s="17" t="s">
        <v>405</v>
      </c>
      <c r="G125" t="str">
        <v xml:space="preserve">Jacobs, Michael - </v>
      </c>
      <c r="H125" t="s">
        <v>405</v>
      </c>
      <c r="J125" s="17" t="s">
        <v>15</v>
      </c>
      <c r="K125" s="19" t="s">
        <v>406</v>
      </c>
      <c r="L125" s="17" t="s">
        <v>62</v>
      </c>
      <c r="M125" s="17" t="str">
        <f ca="1"/>
        <v>UNKNOWN</v>
      </c>
      <c r="N125" s="17" t="s">
        <v>15</v>
      </c>
      <c r="O125" s="13" t="str">
        <f ca="1"/>
        <v/>
      </c>
      <c r="P125" s="13" t="str">
        <f ca="1"/>
        <v/>
      </c>
      <c r="Q125" s="13" t="str">
        <f ca="1"/>
        <v/>
      </c>
      <c r="R125" s="17" t="str">
        <f ca="1"/>
        <v/>
      </c>
      <c r="S125" t="str">
        <f ca="1"/>
        <v/>
      </c>
      <c r="T125" s="20" t="str">
        <v/>
      </c>
    </row>
    <row r="126" spans="1:20" ht="12.75">
      <c r="A126" s="11" t="str">
        <v>UPDATE DETAILS</v>
      </c>
      <c r="B126" s="11" t="str">
        <v>SET SCHEDULE</v>
      </c>
      <c r="F126" s="17" t="s">
        <v>407</v>
      </c>
      <c r="G126" t="str">
        <v xml:space="preserve">Joan Kent  - </v>
      </c>
      <c r="H126" t="s">
        <v>407</v>
      </c>
      <c r="J126" s="17" t="s">
        <v>15</v>
      </c>
      <c r="K126" s="19" t="s">
        <v>408</v>
      </c>
      <c r="L126" s="17" t="s">
        <v>62</v>
      </c>
      <c r="M126" s="17" t="str">
        <f ca="1"/>
        <v>UNKNOWN</v>
      </c>
      <c r="N126" s="17" t="s">
        <v>15</v>
      </c>
      <c r="O126" s="13" t="str">
        <f ca="1"/>
        <v/>
      </c>
      <c r="P126" s="13" t="str">
        <f ca="1"/>
        <v/>
      </c>
      <c r="Q126" s="13" t="str">
        <f ca="1"/>
        <v/>
      </c>
      <c r="R126" s="17" t="str">
        <f ca="1"/>
        <v/>
      </c>
      <c r="S126" t="str">
        <f ca="1"/>
        <v/>
      </c>
      <c r="T126" s="20" t="str">
        <v/>
      </c>
    </row>
    <row r="127" spans="1:20" ht="12.75">
      <c r="A127" s="11" t="str">
        <v>UPDATE DETAILS</v>
      </c>
      <c r="B127" s="11" t="str">
        <v>SET SCHEDULE</v>
      </c>
      <c r="F127" s="17" t="s">
        <v>36</v>
      </c>
      <c r="G127" t="str">
        <v xml:space="preserve">Katzman, Jay / Szubin, Lisa - </v>
      </c>
      <c r="H127" t="s">
        <v>36</v>
      </c>
      <c r="J127" s="17" t="s">
        <v>15</v>
      </c>
      <c r="K127" s="19" t="s">
        <v>37</v>
      </c>
      <c r="L127" s="17" t="s">
        <v>13</v>
      </c>
      <c r="M127" s="17" t="str">
        <f ca="1"/>
        <v>UNKNOWN</v>
      </c>
      <c r="N127" s="17" t="s">
        <v>15</v>
      </c>
      <c r="O127" s="13" t="str">
        <f ca="1"/>
        <v/>
      </c>
      <c r="P127" s="13" t="str">
        <f ca="1"/>
        <v/>
      </c>
      <c r="Q127" s="13" t="str">
        <f ca="1"/>
        <v/>
      </c>
      <c r="R127" s="17" t="str">
        <f ca="1"/>
        <v/>
      </c>
      <c r="S127" t="str">
        <f ca="1"/>
        <v/>
      </c>
      <c r="T127" s="20" t="str">
        <v/>
      </c>
    </row>
    <row r="128" spans="1:20" ht="12.75">
      <c r="A128" s="11" t="str">
        <v>UPDATE DETAILS</v>
      </c>
      <c r="B128" s="11" t="str">
        <v>SET SCHEDULE</v>
      </c>
      <c r="F128" s="17" t="s">
        <v>38</v>
      </c>
      <c r="G128" t="str">
        <v xml:space="preserve">Kessler, Alan - </v>
      </c>
      <c r="H128" t="s">
        <v>38</v>
      </c>
      <c r="I128" s="17"/>
      <c r="J128" s="17" t="s">
        <v>15</v>
      </c>
      <c r="K128" s="19" t="s">
        <v>42</v>
      </c>
      <c r="L128" s="17" t="s">
        <v>13</v>
      </c>
      <c r="M128" s="17" t="str">
        <f ca="1"/>
        <v>UNKNOWN</v>
      </c>
      <c r="N128" s="17" t="s">
        <v>15</v>
      </c>
      <c r="O128" s="13" t="str">
        <f ca="1"/>
        <v/>
      </c>
      <c r="P128" s="13" t="str">
        <f ca="1"/>
        <v/>
      </c>
      <c r="Q128" s="13" t="str">
        <f ca="1"/>
        <v/>
      </c>
      <c r="R128" s="17" t="str">
        <f ca="1"/>
        <v/>
      </c>
      <c r="S128" t="str">
        <f ca="1"/>
        <v/>
      </c>
      <c r="T128" s="20" t="str">
        <v/>
      </c>
    </row>
    <row r="129" spans="1:20" ht="12.75">
      <c r="A129" s="11" t="str">
        <v>UPDATE DETAILS</v>
      </c>
      <c r="B129" s="11" t="str">
        <v>SET SCHEDULE</v>
      </c>
      <c r="F129" s="17" t="s">
        <v>269</v>
      </c>
      <c r="G129" t="str">
        <v xml:space="preserve">Kessler, George - </v>
      </c>
      <c r="H129" t="s">
        <v>269</v>
      </c>
      <c r="J129" s="17" t="s">
        <v>15</v>
      </c>
      <c r="K129" s="19" t="s">
        <v>270</v>
      </c>
      <c r="L129" s="17" t="s">
        <v>61</v>
      </c>
      <c r="M129" s="17" t="str">
        <f ca="1"/>
        <v>UNKNOWN</v>
      </c>
      <c r="N129" s="17" t="s">
        <v>15</v>
      </c>
      <c r="O129" s="13" t="str">
        <f ca="1"/>
        <v/>
      </c>
      <c r="P129" s="13" t="str">
        <f ca="1"/>
        <v/>
      </c>
      <c r="Q129" s="13" t="str">
        <f ca="1"/>
        <v/>
      </c>
      <c r="R129" s="17" t="str">
        <f ca="1"/>
        <v/>
      </c>
      <c r="S129" t="str">
        <f ca="1"/>
        <v/>
      </c>
      <c r="T129" s="20" t="str">
        <v/>
      </c>
    </row>
    <row r="130" spans="1:20" ht="12.75">
      <c r="A130" s="11" t="str">
        <v>UPDATE DETAILS</v>
      </c>
      <c r="B130" s="11" t="str">
        <v>SET SCHEDULE</v>
      </c>
      <c r="F130" s="17" t="s">
        <v>235</v>
      </c>
      <c r="G130" t="str">
        <v xml:space="preserve">Klein, Harvey - </v>
      </c>
      <c r="H130" t="s">
        <v>235</v>
      </c>
      <c r="J130" s="17" t="s">
        <v>15</v>
      </c>
      <c r="K130" s="19">
        <v>14101</v>
      </c>
      <c r="L130" s="17" t="s">
        <v>54</v>
      </c>
      <c r="M130" s="17" t="str">
        <f ca="1"/>
        <v>UNKNOWN</v>
      </c>
      <c r="N130" s="17" t="s">
        <v>15</v>
      </c>
      <c r="O130" s="13" t="str">
        <f ca="1"/>
        <v/>
      </c>
      <c r="P130" s="13" t="str">
        <f ca="1"/>
        <v/>
      </c>
      <c r="Q130" s="13" t="str">
        <f ca="1"/>
        <v/>
      </c>
      <c r="R130" s="17" t="str">
        <f ca="1"/>
        <v/>
      </c>
      <c r="S130" t="str">
        <f ca="1"/>
        <v/>
      </c>
      <c r="T130" s="20" t="str">
        <v/>
      </c>
    </row>
    <row r="131" spans="1:20" ht="12.75">
      <c r="A131" s="11" t="str">
        <v>UPDATE DETAILS</v>
      </c>
      <c r="B131" s="11" t="str">
        <v>SET SCHEDULE</v>
      </c>
      <c r="F131" s="17" t="s">
        <v>271</v>
      </c>
      <c r="G131" t="str">
        <v xml:space="preserve">Lambroza, Aaron  - </v>
      </c>
      <c r="H131" t="s">
        <v>271</v>
      </c>
      <c r="J131" s="17" t="s">
        <v>15</v>
      </c>
      <c r="K131" s="19" t="s">
        <v>272</v>
      </c>
      <c r="L131" s="17" t="s">
        <v>61</v>
      </c>
      <c r="M131" s="17" t="str">
        <f ca="1"/>
        <v>UNKNOWN</v>
      </c>
      <c r="N131" s="17" t="s">
        <v>15</v>
      </c>
      <c r="O131" s="13" t="str">
        <f ca="1"/>
        <v/>
      </c>
      <c r="P131" s="13" t="str">
        <f ca="1"/>
        <v/>
      </c>
      <c r="Q131" s="13" t="str">
        <f ca="1"/>
        <v/>
      </c>
      <c r="R131" s="17" t="str">
        <f ca="1"/>
        <v/>
      </c>
      <c r="S131" t="str">
        <f ca="1"/>
        <v/>
      </c>
      <c r="T131" s="20" t="str">
        <v/>
      </c>
    </row>
    <row r="132" spans="1:20" ht="12.75">
      <c r="A132" s="11" t="str">
        <v>UPDATE DETAILS</v>
      </c>
      <c r="B132" s="11" t="str">
        <v>SET SCHEDULE</v>
      </c>
      <c r="F132" s="17" t="s">
        <v>409</v>
      </c>
      <c r="G132" t="str">
        <v xml:space="preserve">Lanzberg, Brian - </v>
      </c>
      <c r="H132" t="s">
        <v>409</v>
      </c>
      <c r="J132" s="17" t="s">
        <v>15</v>
      </c>
      <c r="K132" s="19" t="s">
        <v>410</v>
      </c>
      <c r="L132" s="17" t="s">
        <v>62</v>
      </c>
      <c r="M132" s="17" t="str">
        <f ca="1"/>
        <v>UNKNOWN</v>
      </c>
      <c r="N132" s="17" t="s">
        <v>15</v>
      </c>
      <c r="O132" s="13" t="str">
        <f ca="1"/>
        <v/>
      </c>
      <c r="P132" s="13" t="str">
        <f ca="1"/>
        <v/>
      </c>
      <c r="Q132" s="13" t="str">
        <f ca="1"/>
        <v/>
      </c>
      <c r="R132" s="17" t="str">
        <f ca="1"/>
        <v/>
      </c>
      <c r="S132" t="str">
        <f ca="1"/>
        <v/>
      </c>
      <c r="T132" s="20" t="str">
        <v/>
      </c>
    </row>
    <row r="133" spans="1:20" ht="12.75">
      <c r="A133" s="11" t="str">
        <v>UPDATE DETAILS</v>
      </c>
      <c r="B133" s="11" t="str">
        <v>SET SCHEDULE</v>
      </c>
      <c r="F133" s="17" t="s">
        <v>273</v>
      </c>
      <c r="G133" t="str">
        <v xml:space="preserve">Lax, James - </v>
      </c>
      <c r="H133" t="s">
        <v>273</v>
      </c>
      <c r="J133" s="17" t="s">
        <v>15</v>
      </c>
      <c r="K133" s="19" t="s">
        <v>274</v>
      </c>
      <c r="L133" s="17" t="s">
        <v>61</v>
      </c>
      <c r="M133" s="17" t="str">
        <f ca="1"/>
        <v>UNKNOWN</v>
      </c>
      <c r="N133" s="17" t="s">
        <v>15</v>
      </c>
      <c r="O133" s="13" t="str">
        <f ca="1"/>
        <v/>
      </c>
      <c r="P133" s="13" t="str">
        <f ca="1"/>
        <v/>
      </c>
      <c r="Q133" s="13" t="str">
        <f ca="1"/>
        <v/>
      </c>
      <c r="R133" s="17" t="str">
        <f ca="1"/>
        <v/>
      </c>
      <c r="S133" t="str">
        <f ca="1"/>
        <v/>
      </c>
      <c r="T133" s="20" t="str">
        <v/>
      </c>
    </row>
    <row r="134" spans="1:20" ht="12.75">
      <c r="A134" s="11" t="str">
        <v>UPDATE DETAILS</v>
      </c>
      <c r="B134" s="11" t="str">
        <v>SET SCHEDULE</v>
      </c>
      <c r="F134" s="17" t="s">
        <v>275</v>
      </c>
      <c r="G134" t="str">
        <v xml:space="preserve">Lebowitz, Nancy  - </v>
      </c>
      <c r="H134" t="s">
        <v>275</v>
      </c>
      <c r="J134" s="17" t="s">
        <v>15</v>
      </c>
      <c r="K134" s="19" t="s">
        <v>276</v>
      </c>
      <c r="L134" s="17" t="s">
        <v>61</v>
      </c>
      <c r="M134" s="17" t="str">
        <f ca="1"/>
        <v>UNKNOWN</v>
      </c>
      <c r="N134" s="17" t="s">
        <v>15</v>
      </c>
      <c r="O134" s="13" t="str">
        <f ca="1"/>
        <v/>
      </c>
      <c r="P134" s="13" t="str">
        <f ca="1"/>
        <v/>
      </c>
      <c r="Q134" s="13" t="str">
        <f ca="1"/>
        <v/>
      </c>
      <c r="R134" s="17" t="str">
        <f ca="1"/>
        <v/>
      </c>
      <c r="S134" t="str">
        <f ca="1"/>
        <v/>
      </c>
      <c r="T134" s="20" t="str">
        <v/>
      </c>
    </row>
    <row r="135" spans="1:20" ht="12.75">
      <c r="A135" s="11" t="str">
        <v>UPDATE DETAILS</v>
      </c>
      <c r="B135" s="11" t="str">
        <v>SET SCHEDULE</v>
      </c>
      <c r="F135" s="17" t="s">
        <v>277</v>
      </c>
      <c r="G135" t="str">
        <v xml:space="preserve">Lefkowitz, David  - </v>
      </c>
      <c r="H135" t="s">
        <v>277</v>
      </c>
      <c r="J135" s="17" t="s">
        <v>15</v>
      </c>
      <c r="K135" s="19" t="s">
        <v>278</v>
      </c>
      <c r="L135" s="17" t="s">
        <v>61</v>
      </c>
      <c r="M135" s="17" t="str">
        <f ca="1"/>
        <v>UNKNOWN</v>
      </c>
      <c r="N135" s="17" t="s">
        <v>15</v>
      </c>
      <c r="O135" s="13" t="str">
        <f ca="1"/>
        <v/>
      </c>
      <c r="P135" s="13" t="str">
        <f ca="1"/>
        <v/>
      </c>
      <c r="Q135" s="13" t="str">
        <f ca="1"/>
        <v/>
      </c>
      <c r="R135" s="17" t="str">
        <f ca="1"/>
        <v/>
      </c>
      <c r="S135" t="str">
        <f ca="1"/>
        <v/>
      </c>
      <c r="T135" s="20" t="str">
        <v/>
      </c>
    </row>
    <row r="136" spans="1:20" ht="12.75">
      <c r="A136" s="11" t="str">
        <v>UPDATE DETAILS</v>
      </c>
      <c r="B136" s="11" t="str">
        <v>SET SCHEDULE</v>
      </c>
      <c r="F136" s="17" t="s">
        <v>411</v>
      </c>
      <c r="G136" t="str">
        <v xml:space="preserve">Levy, Miriam  - </v>
      </c>
      <c r="H136" t="s">
        <v>411</v>
      </c>
      <c r="J136" s="17" t="s">
        <v>15</v>
      </c>
      <c r="K136" s="19" t="s">
        <v>412</v>
      </c>
      <c r="L136" s="17" t="s">
        <v>62</v>
      </c>
      <c r="M136" s="17" t="str">
        <f ca="1"/>
        <v>UNKNOWN</v>
      </c>
      <c r="N136" s="17" t="s">
        <v>15</v>
      </c>
      <c r="O136" s="13" t="str">
        <f ca="1"/>
        <v/>
      </c>
      <c r="P136" s="13" t="str">
        <f ca="1"/>
        <v/>
      </c>
      <c r="Q136" s="13" t="str">
        <f ca="1"/>
        <v/>
      </c>
      <c r="R136" s="17" t="str">
        <f ca="1"/>
        <v/>
      </c>
      <c r="S136" t="str">
        <f ca="1"/>
        <v/>
      </c>
      <c r="T136" s="20" t="str">
        <v/>
      </c>
    </row>
    <row r="137" spans="1:20" ht="12.75">
      <c r="A137" s="11" t="str">
        <v>UPDATE DETAILS</v>
      </c>
      <c r="B137" s="11" t="str">
        <v>SET SCHEDULE</v>
      </c>
      <c r="C137" s="17" t="s">
        <v>581</v>
      </c>
      <c r="E137" s="17" t="s">
        <v>582</v>
      </c>
      <c r="G137" t="str">
        <v xml:space="preserve">LMH - ONC (7th Floor) - </v>
      </c>
      <c r="H137" t="s">
        <v>114</v>
      </c>
      <c r="J137" s="17" t="s">
        <v>15</v>
      </c>
      <c r="K137" s="19" t="s">
        <v>115</v>
      </c>
      <c r="L137" s="17" t="s">
        <v>55</v>
      </c>
      <c r="M137" s="17" t="str">
        <f ca="1"/>
        <v>UNKNOWN</v>
      </c>
      <c r="N137" s="17" t="s">
        <v>15</v>
      </c>
      <c r="O137" s="13" t="str">
        <f ca="1"/>
        <v/>
      </c>
      <c r="P137" s="13" t="str">
        <f ca="1"/>
        <v/>
      </c>
      <c r="Q137" s="13" t="str">
        <f ca="1"/>
        <v/>
      </c>
      <c r="R137" s="17" t="str">
        <f ca="1"/>
        <v/>
      </c>
      <c r="S137" t="str">
        <f ca="1"/>
        <v/>
      </c>
      <c r="T137" s="20" t="str">
        <v/>
      </c>
    </row>
    <row r="138" spans="1:20" ht="12.75">
      <c r="A138" s="11" t="str">
        <v>UPDATE DETAILS</v>
      </c>
      <c r="B138" s="11" t="str">
        <v>SET SCHEDULE</v>
      </c>
      <c r="C138" s="17" t="s">
        <v>581</v>
      </c>
      <c r="E138" s="17" t="s">
        <v>582</v>
      </c>
      <c r="F138" s="17" t="s">
        <v>583</v>
      </c>
      <c r="G138" t="str">
        <v xml:space="preserve">LMH - ONC (7th Floor) - Chaekal, Ok- Ong - </v>
      </c>
      <c r="H138" t="s">
        <v>116</v>
      </c>
      <c r="J138" s="17" t="s">
        <v>15</v>
      </c>
      <c r="K138" s="19" t="s">
        <v>115</v>
      </c>
      <c r="L138" s="17" t="s">
        <v>55</v>
      </c>
      <c r="M138" s="17" t="str">
        <f ca="1"/>
        <v>UNKNOWN</v>
      </c>
      <c r="N138" s="17" t="s">
        <v>15</v>
      </c>
      <c r="O138" s="13" t="str">
        <f ca="1"/>
        <v/>
      </c>
      <c r="P138" s="13" t="str">
        <f ca="1"/>
        <v/>
      </c>
      <c r="Q138" s="13" t="str">
        <f ca="1"/>
        <v/>
      </c>
      <c r="R138" s="17" t="str">
        <f ca="1"/>
        <v/>
      </c>
      <c r="S138" t="str">
        <f ca="1"/>
        <v/>
      </c>
      <c r="T138" s="20" t="str">
        <v/>
      </c>
    </row>
    <row r="139" spans="1:20" ht="12.75">
      <c r="A139" s="11" t="str">
        <v>UPDATE DETAILS</v>
      </c>
      <c r="B139" s="11" t="str">
        <v>SET SCHEDULE</v>
      </c>
      <c r="C139" s="17" t="s">
        <v>581</v>
      </c>
      <c r="E139" s="17" t="s">
        <v>582</v>
      </c>
      <c r="F139" s="17" t="s">
        <v>584</v>
      </c>
      <c r="G139" t="str">
        <v xml:space="preserve">LMH - ONC (7th Floor) - Mo, Lan - </v>
      </c>
      <c r="H139" t="s">
        <v>117</v>
      </c>
      <c r="J139" s="17" t="s">
        <v>15</v>
      </c>
      <c r="K139" s="19" t="s">
        <v>115</v>
      </c>
      <c r="L139" s="17" t="s">
        <v>55</v>
      </c>
      <c r="M139" s="17" t="str">
        <f ca="1"/>
        <v>UNKNOWN</v>
      </c>
      <c r="N139" s="17" t="s">
        <v>15</v>
      </c>
      <c r="O139" s="13" t="str">
        <f ca="1"/>
        <v/>
      </c>
      <c r="P139" s="13" t="str">
        <f ca="1"/>
        <v/>
      </c>
      <c r="Q139" s="13" t="str">
        <f ca="1"/>
        <v/>
      </c>
      <c r="R139" s="17" t="str">
        <f ca="1"/>
        <v/>
      </c>
      <c r="S139" t="str">
        <f ca="1"/>
        <v/>
      </c>
      <c r="T139" s="20" t="str">
        <v/>
      </c>
    </row>
    <row r="140" spans="1:20" ht="12.75">
      <c r="A140" s="11" t="str">
        <v>UPDATE DETAILS</v>
      </c>
      <c r="B140" s="11" t="str">
        <v>SET SCHEDULE</v>
      </c>
      <c r="C140" s="17" t="s">
        <v>581</v>
      </c>
      <c r="E140" s="17" t="s">
        <v>582</v>
      </c>
      <c r="F140" s="17" t="s">
        <v>585</v>
      </c>
      <c r="G140" t="str">
        <v xml:space="preserve">LMH - ONC (7th Floor) - Rowe, Audrey - </v>
      </c>
      <c r="H140" t="s">
        <v>118</v>
      </c>
      <c r="J140" s="17" t="s">
        <v>15</v>
      </c>
      <c r="K140" s="19" t="s">
        <v>115</v>
      </c>
      <c r="L140" s="17" t="s">
        <v>55</v>
      </c>
      <c r="M140" s="17" t="str">
        <f ca="1"/>
        <v>UNKNOWN</v>
      </c>
      <c r="N140" s="17" t="s">
        <v>15</v>
      </c>
      <c r="O140" s="13" t="str">
        <f ca="1"/>
        <v/>
      </c>
      <c r="P140" s="13" t="str">
        <f ca="1"/>
        <v/>
      </c>
      <c r="Q140" s="13" t="str">
        <f ca="1"/>
        <v/>
      </c>
      <c r="R140" s="17" t="str">
        <f ca="1"/>
        <v/>
      </c>
      <c r="S140" t="str">
        <f ca="1"/>
        <v/>
      </c>
      <c r="T140" s="20" t="str">
        <v/>
      </c>
    </row>
    <row r="141" spans="1:20" ht="12.75">
      <c r="A141" s="11" t="str">
        <v>UPDATE DETAILS</v>
      </c>
      <c r="B141" s="11" t="str">
        <v>SET SCHEDULE</v>
      </c>
      <c r="F141" s="17" t="s">
        <v>413</v>
      </c>
      <c r="G141" t="str">
        <v xml:space="preserve">Magid, Norman - </v>
      </c>
      <c r="H141" t="s">
        <v>413</v>
      </c>
      <c r="J141" s="17" t="s">
        <v>553</v>
      </c>
      <c r="K141" s="19" t="s">
        <v>414</v>
      </c>
      <c r="L141" s="17" t="s">
        <v>62</v>
      </c>
      <c r="M141" s="17" t="str">
        <f ca="1"/>
        <v>UNKNOWN</v>
      </c>
      <c r="N141" s="17" t="s">
        <v>15</v>
      </c>
      <c r="O141" s="13" t="str">
        <f ca="1"/>
        <v/>
      </c>
      <c r="P141" s="13" t="str">
        <f ca="1"/>
        <v/>
      </c>
      <c r="Q141" s="13" t="str">
        <f ca="1"/>
        <v/>
      </c>
      <c r="R141" s="17" t="str">
        <f ca="1"/>
        <v/>
      </c>
      <c r="S141" t="str">
        <f ca="1"/>
        <v/>
      </c>
      <c r="T141" s="20" t="str">
        <v/>
      </c>
    </row>
    <row r="142" spans="1:20" ht="12.75">
      <c r="A142" s="11" t="str">
        <v>UPDATE DETAILS</v>
      </c>
      <c r="B142" s="11" t="str">
        <v>SET SCHEDULE</v>
      </c>
      <c r="F142" s="17" t="s">
        <v>415</v>
      </c>
      <c r="G142" t="str">
        <v xml:space="preserve">Maltz, Charles - </v>
      </c>
      <c r="H142" t="s">
        <v>415</v>
      </c>
      <c r="J142" s="17" t="s">
        <v>15</v>
      </c>
      <c r="K142" s="19" t="s">
        <v>338</v>
      </c>
      <c r="L142" s="17" t="s">
        <v>62</v>
      </c>
      <c r="M142" s="17" t="str">
        <f ca="1"/>
        <v>UNKNOWN</v>
      </c>
      <c r="N142" s="17" t="s">
        <v>15</v>
      </c>
      <c r="O142" s="13" t="str">
        <f ca="1"/>
        <v/>
      </c>
      <c r="P142" s="13" t="str">
        <f ca="1"/>
        <v/>
      </c>
      <c r="Q142" s="13" t="str">
        <f ca="1"/>
        <v/>
      </c>
      <c r="R142" s="17" t="str">
        <f ca="1"/>
        <v/>
      </c>
      <c r="S142" t="str">
        <f ca="1"/>
        <v/>
      </c>
      <c r="T142" s="20" t="str">
        <v/>
      </c>
    </row>
    <row r="143" spans="1:20" ht="12.75">
      <c r="A143" s="11" t="str">
        <v>UPDATE DETAILS</v>
      </c>
      <c r="B143" s="11" t="str">
        <v>SET SCHEDULE</v>
      </c>
      <c r="F143" s="17" t="s">
        <v>416</v>
      </c>
      <c r="G143" t="str">
        <v xml:space="preserve">Manevitz, Alan - </v>
      </c>
      <c r="H143" t="s">
        <v>416</v>
      </c>
      <c r="J143" s="17" t="s">
        <v>553</v>
      </c>
      <c r="K143" s="19" t="s">
        <v>417</v>
      </c>
      <c r="L143" s="17" t="s">
        <v>62</v>
      </c>
      <c r="M143" s="17" t="str">
        <f ca="1"/>
        <v>UNKNOWN</v>
      </c>
      <c r="N143" s="17" t="s">
        <v>15</v>
      </c>
      <c r="O143" s="13" t="str">
        <f ca="1"/>
        <v/>
      </c>
      <c r="P143" s="13" t="str">
        <f ca="1"/>
        <v/>
      </c>
      <c r="Q143" s="13" t="str">
        <f ca="1"/>
        <v/>
      </c>
      <c r="R143" s="17" t="str">
        <f ca="1"/>
        <v/>
      </c>
      <c r="S143" t="str">
        <f ca="1"/>
        <v/>
      </c>
      <c r="T143" s="20" t="str">
        <v/>
      </c>
    </row>
    <row r="144" spans="1:20" ht="12.75">
      <c r="A144" s="11" t="str">
        <v>UPDATE DETAILS</v>
      </c>
      <c r="B144" s="11" t="str">
        <v>SET SCHEDULE</v>
      </c>
      <c r="C144" s="17" t="s">
        <v>586</v>
      </c>
      <c r="F144" s="17" t="s">
        <v>578</v>
      </c>
      <c r="G144" t="str">
        <v xml:space="preserve">MANH Offices - Moss, Edward - </v>
      </c>
      <c r="H144" t="s">
        <v>228</v>
      </c>
      <c r="J144" s="17" t="s">
        <v>15</v>
      </c>
      <c r="K144" s="19" t="s">
        <v>229</v>
      </c>
      <c r="L144" s="17" t="s">
        <v>225</v>
      </c>
      <c r="M144" s="17" t="str">
        <f ca="1"/>
        <v>UNKNOWN</v>
      </c>
      <c r="N144" s="17" t="s">
        <v>15</v>
      </c>
      <c r="O144" s="13" t="str">
        <f ca="1"/>
        <v/>
      </c>
      <c r="P144" s="13" t="str">
        <f ca="1"/>
        <v/>
      </c>
      <c r="Q144" s="13" t="str">
        <f ca="1"/>
        <v/>
      </c>
      <c r="R144" s="17" t="str">
        <f ca="1"/>
        <v/>
      </c>
      <c r="S144" s="17" t="str">
        <f ca="1"/>
        <v/>
      </c>
      <c r="T144" s="20" t="str">
        <v/>
      </c>
    </row>
    <row r="145" spans="1:20" ht="12.75">
      <c r="A145" s="11" t="str">
        <v>UPDATE DETAILS</v>
      </c>
      <c r="B145" s="11" t="str">
        <v>SET SCHEDULE</v>
      </c>
      <c r="F145" s="17" t="s">
        <v>213</v>
      </c>
      <c r="G145" t="str">
        <v xml:space="preserve">Manheimer, Forrest/ Schwartz,Jeremy /Golas, Benjamin  - </v>
      </c>
      <c r="H145" t="s">
        <v>213</v>
      </c>
      <c r="J145" s="17" t="s">
        <v>15</v>
      </c>
      <c r="K145" s="19" t="s">
        <v>214</v>
      </c>
      <c r="L145" s="17" t="s">
        <v>59</v>
      </c>
      <c r="M145" s="17" t="str">
        <f ca="1"/>
        <v>UNKNOWN</v>
      </c>
      <c r="N145" s="17" t="s">
        <v>15</v>
      </c>
      <c r="O145" s="13" t="str">
        <f ca="1"/>
        <v/>
      </c>
      <c r="P145" s="13" t="str">
        <f ca="1"/>
        <v/>
      </c>
      <c r="Q145" s="13" t="str">
        <f ca="1"/>
        <v/>
      </c>
      <c r="R145" s="17" t="str">
        <f ca="1"/>
        <v/>
      </c>
      <c r="S145" t="str">
        <f ca="1"/>
        <v/>
      </c>
      <c r="T145" s="20" t="str">
        <v/>
      </c>
    </row>
    <row r="146" spans="1:20" ht="12.75">
      <c r="A146" s="11" t="str">
        <v>UPDATE DETAILS</v>
      </c>
      <c r="B146" s="11" t="str">
        <v>SET SCHEDULE</v>
      </c>
      <c r="F146" s="17" t="s">
        <v>49</v>
      </c>
      <c r="G146" t="str">
        <v xml:space="preserve">Martorella, Andrew - </v>
      </c>
      <c r="H146" t="s">
        <v>49</v>
      </c>
      <c r="J146" s="17" t="s">
        <v>15</v>
      </c>
      <c r="K146" s="19" t="s">
        <v>51</v>
      </c>
      <c r="L146" s="17" t="s">
        <v>13</v>
      </c>
      <c r="M146" s="17" t="str">
        <f ca="1"/>
        <v>UNKNOWN</v>
      </c>
      <c r="N146" s="17" t="s">
        <v>15</v>
      </c>
      <c r="O146" s="13" t="str">
        <f ca="1"/>
        <v/>
      </c>
      <c r="P146" s="13" t="str">
        <f ca="1"/>
        <v/>
      </c>
      <c r="Q146" s="13" t="str">
        <f ca="1"/>
        <v/>
      </c>
      <c r="R146" s="17" t="str">
        <f ca="1"/>
        <v/>
      </c>
      <c r="S146" t="str">
        <f ca="1"/>
        <v/>
      </c>
      <c r="T146" s="20" t="str">
        <v/>
      </c>
    </row>
    <row r="147" spans="1:20" ht="12.75">
      <c r="A147" s="11" t="str">
        <v>UPDATE DETAILS</v>
      </c>
      <c r="B147" s="11" t="str">
        <v>SET SCHEDULE</v>
      </c>
      <c r="C147" s="17" t="s">
        <v>587</v>
      </c>
      <c r="F147" s="17" t="s">
        <v>492</v>
      </c>
      <c r="G147" t="str">
        <v xml:space="preserve">MD Park Ave - [OFFICE] - </v>
      </c>
      <c r="H147" t="s">
        <v>418</v>
      </c>
      <c r="J147" s="17" t="s">
        <v>15</v>
      </c>
      <c r="K147" s="19" t="s">
        <v>419</v>
      </c>
      <c r="L147" s="17" t="s">
        <v>62</v>
      </c>
      <c r="M147" s="17" t="str">
        <f ca="1"/>
        <v>UNKNOWN</v>
      </c>
      <c r="N147" s="17" t="s">
        <v>15</v>
      </c>
      <c r="O147" s="13" t="str">
        <f ca="1"/>
        <v/>
      </c>
      <c r="P147" s="13" t="str">
        <f ca="1"/>
        <v/>
      </c>
      <c r="Q147" s="13" t="str">
        <f ca="1"/>
        <v/>
      </c>
      <c r="R147" s="17" t="str">
        <f ca="1"/>
        <v/>
      </c>
      <c r="S147" t="str">
        <f ca="1"/>
        <v/>
      </c>
      <c r="T147" s="20" t="str">
        <v/>
      </c>
    </row>
    <row r="148" spans="1:20" ht="12.75">
      <c r="A148" s="11" t="str">
        <v>UPDATE DETAILS</v>
      </c>
      <c r="B148" s="11" t="str">
        <v>SET SCHEDULE</v>
      </c>
      <c r="C148" s="17" t="s">
        <v>587</v>
      </c>
      <c r="F148" s="17" t="s">
        <v>588</v>
      </c>
      <c r="G148" t="str">
        <v xml:space="preserve">MD Park Ave - Ellis, George - </v>
      </c>
      <c r="H148" t="s">
        <v>420</v>
      </c>
      <c r="J148" s="17" t="s">
        <v>15</v>
      </c>
      <c r="K148" s="19" t="s">
        <v>419</v>
      </c>
      <c r="L148" s="17" t="s">
        <v>62</v>
      </c>
      <c r="M148" s="17" t="str">
        <f ca="1"/>
        <v>UNKNOWN</v>
      </c>
      <c r="N148" s="17" t="s">
        <v>15</v>
      </c>
      <c r="O148" s="13" t="str">
        <f ca="1"/>
        <v/>
      </c>
      <c r="P148" s="13" t="str">
        <f ca="1"/>
        <v/>
      </c>
      <c r="Q148" s="13" t="str">
        <f ca="1"/>
        <v/>
      </c>
      <c r="R148" s="17" t="str">
        <f ca="1"/>
        <v/>
      </c>
      <c r="S148" t="str">
        <f ca="1"/>
        <v/>
      </c>
      <c r="T148" s="20" t="str">
        <v/>
      </c>
    </row>
    <row r="149" spans="1:20" ht="12.75">
      <c r="A149" s="11" t="str">
        <v>UPDATE DETAILS</v>
      </c>
      <c r="B149" s="11" t="str">
        <v>SET SCHEDULE</v>
      </c>
      <c r="C149" s="17" t="s">
        <v>587</v>
      </c>
      <c r="F149" s="17" t="s">
        <v>589</v>
      </c>
      <c r="G149" t="str">
        <v xml:space="preserve">MD Park Ave - Midonick, Shari - </v>
      </c>
      <c r="H149" t="s">
        <v>421</v>
      </c>
      <c r="J149" s="17" t="s">
        <v>15</v>
      </c>
      <c r="K149" s="19" t="s">
        <v>419</v>
      </c>
      <c r="L149" s="17" t="s">
        <v>62</v>
      </c>
      <c r="M149" s="17" t="str">
        <f ca="1"/>
        <v>UNKNOWN</v>
      </c>
      <c r="N149" s="17" t="s">
        <v>15</v>
      </c>
      <c r="O149" s="13" t="str">
        <f ca="1"/>
        <v/>
      </c>
      <c r="P149" s="13" t="str">
        <f ca="1"/>
        <v/>
      </c>
      <c r="Q149" s="13" t="str">
        <f ca="1"/>
        <v/>
      </c>
      <c r="R149" s="17" t="str">
        <f ca="1"/>
        <v/>
      </c>
      <c r="S149" t="str">
        <f ca="1"/>
        <v/>
      </c>
      <c r="T149" s="20" t="str">
        <v/>
      </c>
    </row>
    <row r="150" spans="1:20" ht="12.75">
      <c r="A150" s="11" t="str">
        <v>UPDATE DETAILS</v>
      </c>
      <c r="B150" s="11" t="str">
        <v>SET SCHEDULE</v>
      </c>
      <c r="C150" s="17" t="s">
        <v>590</v>
      </c>
      <c r="F150" s="17" t="s">
        <v>492</v>
      </c>
      <c r="G150" t="str">
        <v xml:space="preserve">Metropoliton Urology - [OFFICE] - </v>
      </c>
      <c r="H150" t="s">
        <v>175</v>
      </c>
      <c r="J150" s="17" t="s">
        <v>15</v>
      </c>
      <c r="K150" s="19" t="s">
        <v>176</v>
      </c>
      <c r="L150" s="17" t="s">
        <v>57</v>
      </c>
      <c r="M150" s="17" t="str">
        <f ca="1"/>
        <v>UNKNOWN</v>
      </c>
      <c r="N150" s="17" t="s">
        <v>15</v>
      </c>
      <c r="O150" s="13" t="str">
        <f ca="1"/>
        <v/>
      </c>
      <c r="P150" s="13" t="str">
        <f ca="1"/>
        <v/>
      </c>
      <c r="Q150" s="13" t="str">
        <f ca="1"/>
        <v/>
      </c>
      <c r="R150" s="17" t="str">
        <f ca="1"/>
        <v/>
      </c>
      <c r="S150" t="str">
        <f ca="1"/>
        <v/>
      </c>
      <c r="T150" s="20" t="str">
        <v/>
      </c>
    </row>
    <row r="151" spans="1:20" ht="12.75">
      <c r="A151" s="11" t="str">
        <v>UPDATE DETAILS</v>
      </c>
      <c r="B151" s="11" t="str">
        <v>SET SCHEDULE</v>
      </c>
      <c r="C151" s="17" t="s">
        <v>590</v>
      </c>
      <c r="F151" s="17" t="s">
        <v>591</v>
      </c>
      <c r="G151" t="str">
        <v xml:space="preserve">Metropoliton Urology - Choi, Benjamin - </v>
      </c>
      <c r="H151" t="s">
        <v>177</v>
      </c>
      <c r="J151" s="17" t="s">
        <v>15</v>
      </c>
      <c r="K151" s="19" t="s">
        <v>176</v>
      </c>
      <c r="L151" s="17" t="s">
        <v>57</v>
      </c>
      <c r="M151" s="17" t="str">
        <f ca="1"/>
        <v>UNKNOWN</v>
      </c>
      <c r="N151" s="17" t="s">
        <v>15</v>
      </c>
      <c r="O151" s="13" t="str">
        <f ca="1"/>
        <v/>
      </c>
      <c r="P151" s="13" t="str">
        <f ca="1"/>
        <v/>
      </c>
      <c r="Q151" s="13" t="str">
        <f ca="1"/>
        <v/>
      </c>
      <c r="R151" s="17" t="str">
        <f ca="1"/>
        <v/>
      </c>
      <c r="S151" t="str">
        <f ca="1"/>
        <v/>
      </c>
      <c r="T151" s="20" t="str">
        <v/>
      </c>
    </row>
    <row r="152" spans="1:20" ht="12.75">
      <c r="A152" s="11" t="str">
        <v>UPDATE DETAILS</v>
      </c>
      <c r="B152" s="11" t="str">
        <v>SET SCHEDULE</v>
      </c>
      <c r="C152" s="17" t="s">
        <v>590</v>
      </c>
      <c r="F152" s="17" t="s">
        <v>592</v>
      </c>
      <c r="G152" t="str">
        <v xml:space="preserve">Metropoliton Urology - McGuire, Lynsay - </v>
      </c>
      <c r="H152" t="s">
        <v>178</v>
      </c>
      <c r="J152" s="17" t="s">
        <v>15</v>
      </c>
      <c r="K152" s="19" t="s">
        <v>176</v>
      </c>
      <c r="L152" s="17" t="s">
        <v>57</v>
      </c>
      <c r="M152" s="17" t="str">
        <f ca="1"/>
        <v>UNKNOWN</v>
      </c>
      <c r="N152" s="17" t="s">
        <v>15</v>
      </c>
      <c r="O152" s="13" t="str">
        <f ca="1"/>
        <v/>
      </c>
      <c r="P152" s="13" t="str">
        <f ca="1"/>
        <v/>
      </c>
      <c r="Q152" s="13" t="str">
        <f ca="1"/>
        <v/>
      </c>
      <c r="R152" s="17" t="str">
        <f ca="1"/>
        <v/>
      </c>
      <c r="S152" t="str">
        <f ca="1"/>
        <v/>
      </c>
      <c r="T152" s="20" t="str">
        <v/>
      </c>
    </row>
    <row r="153" spans="1:20" ht="12.75">
      <c r="A153" s="11" t="str">
        <v>UPDATE DETAILS</v>
      </c>
      <c r="B153" s="11" t="str">
        <v>SET SCHEDULE</v>
      </c>
      <c r="C153" s="17" t="s">
        <v>590</v>
      </c>
      <c r="F153" s="17" t="s">
        <v>593</v>
      </c>
      <c r="G153" t="str">
        <v xml:space="preserve">Metropoliton Urology - Shemtov, Menachem - </v>
      </c>
      <c r="H153" t="s">
        <v>179</v>
      </c>
      <c r="J153" s="17" t="s">
        <v>15</v>
      </c>
      <c r="K153" s="19" t="s">
        <v>176</v>
      </c>
      <c r="L153" s="17" t="s">
        <v>57</v>
      </c>
      <c r="M153" s="17" t="str">
        <f ca="1"/>
        <v>UNKNOWN</v>
      </c>
      <c r="N153" s="17" t="s">
        <v>15</v>
      </c>
      <c r="O153" s="13" t="str">
        <f ca="1"/>
        <v/>
      </c>
      <c r="P153" s="13" t="str">
        <f ca="1"/>
        <v/>
      </c>
      <c r="Q153" s="13" t="str">
        <f ca="1"/>
        <v/>
      </c>
      <c r="R153" s="17" t="str">
        <f ca="1"/>
        <v/>
      </c>
      <c r="S153" t="str">
        <f ca="1"/>
        <v/>
      </c>
      <c r="T153" s="20" t="str">
        <v/>
      </c>
    </row>
    <row r="154" spans="1:20" ht="12.75">
      <c r="A154" s="11" t="str">
        <v>UPDATE DETAILS</v>
      </c>
      <c r="B154" s="11" t="str">
        <v>SET SCHEDULE</v>
      </c>
      <c r="F154" s="17" t="s">
        <v>422</v>
      </c>
      <c r="G154" t="str">
        <v xml:space="preserve">Miskovitz, Paul / Eng, Angie / Cooper, Robert - </v>
      </c>
      <c r="H154" t="s">
        <v>422</v>
      </c>
      <c r="J154" s="17" t="s">
        <v>15</v>
      </c>
      <c r="K154" s="19" t="s">
        <v>423</v>
      </c>
      <c r="L154" s="17" t="s">
        <v>62</v>
      </c>
      <c r="M154" s="17" t="str">
        <f ca="1"/>
        <v>UNKNOWN</v>
      </c>
      <c r="N154" s="17" t="s">
        <v>15</v>
      </c>
      <c r="O154" s="13" t="str">
        <f ca="1"/>
        <v/>
      </c>
      <c r="P154" s="13" t="str">
        <f ca="1"/>
        <v/>
      </c>
      <c r="Q154" s="13" t="str">
        <f ca="1"/>
        <v/>
      </c>
      <c r="R154" s="17" t="str">
        <f ca="1"/>
        <v/>
      </c>
      <c r="S154" s="17" t="str">
        <f ca="1"/>
        <v/>
      </c>
      <c r="T154" s="20" t="str">
        <v/>
      </c>
    </row>
    <row r="155" spans="1:20" ht="12.75">
      <c r="A155" s="11" t="str">
        <v>UPDATE DETAILS</v>
      </c>
      <c r="B155" s="11" t="str">
        <v>SET SCHEDULE</v>
      </c>
      <c r="C155" s="17" t="s">
        <v>594</v>
      </c>
      <c r="D155" s="17" t="s">
        <v>595</v>
      </c>
      <c r="F155" s="17" t="s">
        <v>492</v>
      </c>
      <c r="G155" t="str">
        <v xml:space="preserve">New York Cardiology - 61st Street (6th Floor) - [OFFICE] - </v>
      </c>
      <c r="H155" t="s">
        <v>306</v>
      </c>
      <c r="J155" s="17" t="s">
        <v>15</v>
      </c>
      <c r="K155" s="19" t="s">
        <v>307</v>
      </c>
      <c r="L155" s="17" t="s">
        <v>53</v>
      </c>
      <c r="M155" s="17" t="str">
        <f ca="1"/>
        <v>UNKNOWN</v>
      </c>
      <c r="N155" s="17" t="s">
        <v>15</v>
      </c>
      <c r="O155" s="13" t="str">
        <f ca="1"/>
        <v/>
      </c>
      <c r="P155" s="13" t="str">
        <f ca="1"/>
        <v/>
      </c>
      <c r="Q155" s="13" t="str">
        <f ca="1"/>
        <v/>
      </c>
      <c r="R155" s="17" t="str">
        <f ca="1"/>
        <v/>
      </c>
      <c r="S155" t="str">
        <f ca="1"/>
        <v/>
      </c>
      <c r="T155" s="20" t="str">
        <v/>
      </c>
    </row>
    <row r="156" spans="1:20" ht="12.75">
      <c r="A156" s="11" t="str">
        <v>UPDATE DETAILS</v>
      </c>
      <c r="B156" s="11" t="str">
        <v>SET SCHEDULE</v>
      </c>
      <c r="C156" s="17" t="s">
        <v>594</v>
      </c>
      <c r="D156" s="17" t="s">
        <v>595</v>
      </c>
      <c r="F156" s="17" t="s">
        <v>596</v>
      </c>
      <c r="G156" t="str">
        <v xml:space="preserve">New York Cardiology - 61st Street (6th Floor) - Anderson, Holly - </v>
      </c>
      <c r="H156" t="s">
        <v>64</v>
      </c>
      <c r="J156" s="17" t="s">
        <v>15</v>
      </c>
      <c r="K156" s="19" t="s">
        <v>65</v>
      </c>
      <c r="L156" s="17" t="s">
        <v>13</v>
      </c>
      <c r="M156" s="17" t="str">
        <f ca="1"/>
        <v>UNKNOWN</v>
      </c>
      <c r="N156" s="17" t="s">
        <v>15</v>
      </c>
      <c r="O156" s="13" t="str">
        <f ca="1"/>
        <v/>
      </c>
      <c r="P156" s="13" t="str">
        <f ca="1"/>
        <v/>
      </c>
      <c r="Q156" s="13" t="str">
        <f ca="1"/>
        <v/>
      </c>
      <c r="R156" s="17" t="str">
        <f ca="1"/>
        <v/>
      </c>
      <c r="S156" t="str">
        <f ca="1"/>
        <v/>
      </c>
      <c r="T156" s="20" t="str">
        <v/>
      </c>
    </row>
    <row r="157" spans="1:20" ht="12.75">
      <c r="A157" s="11" t="str">
        <v>UPDATE DETAILS</v>
      </c>
      <c r="B157" s="11" t="str">
        <v>SET SCHEDULE</v>
      </c>
      <c r="F157" s="17" t="s">
        <v>66</v>
      </c>
      <c r="G157" t="str">
        <v xml:space="preserve">Newman-Cedar / Dr. Sacks / Dr. Gordon - </v>
      </c>
      <c r="H157" t="s">
        <v>66</v>
      </c>
      <c r="J157" s="17" t="s">
        <v>15</v>
      </c>
      <c r="K157" s="19" t="s">
        <v>67</v>
      </c>
      <c r="L157" s="17" t="s">
        <v>13</v>
      </c>
      <c r="M157" s="17" t="str">
        <f ca="1"/>
        <v>UNKNOWN</v>
      </c>
      <c r="N157" s="17" t="s">
        <v>15</v>
      </c>
      <c r="O157" s="21" t="str">
        <f ca="1"/>
        <v/>
      </c>
      <c r="P157" s="21" t="str">
        <f ca="1"/>
        <v/>
      </c>
      <c r="Q157" s="13" t="str">
        <f ca="1"/>
        <v/>
      </c>
      <c r="R157" s="17" t="str">
        <f ca="1"/>
        <v/>
      </c>
      <c r="S157" s="17" t="str">
        <f ca="1"/>
        <v/>
      </c>
      <c r="T157" s="20" t="str">
        <v/>
      </c>
    </row>
    <row r="158" spans="1:20" ht="12.75">
      <c r="A158" s="11" t="str">
        <v>UPDATE DETAILS</v>
      </c>
      <c r="B158" s="11" t="str">
        <v>SET SCHEDULE</v>
      </c>
      <c r="F158" s="17" t="s">
        <v>180</v>
      </c>
      <c r="G158" t="str">
        <v xml:space="preserve">Nezhat, Farr - </v>
      </c>
      <c r="H158" t="s">
        <v>180</v>
      </c>
      <c r="J158" s="17" t="s">
        <v>15</v>
      </c>
      <c r="K158" s="19" t="s">
        <v>181</v>
      </c>
      <c r="L158" s="17" t="s">
        <v>57</v>
      </c>
      <c r="M158" s="17" t="str">
        <f ca="1"/>
        <v>UNKNOWN</v>
      </c>
      <c r="N158" s="17" t="s">
        <v>15</v>
      </c>
      <c r="O158" s="13" t="str">
        <f ca="1"/>
        <v/>
      </c>
      <c r="P158" s="13" t="str">
        <f ca="1"/>
        <v/>
      </c>
      <c r="Q158" s="13" t="str">
        <f ca="1"/>
        <v/>
      </c>
      <c r="R158" s="17" t="str">
        <f ca="1"/>
        <v/>
      </c>
      <c r="S158" t="str">
        <f ca="1"/>
        <v/>
      </c>
      <c r="T158" s="20" t="str">
        <v/>
      </c>
    </row>
    <row r="159" spans="1:20" ht="12.75">
      <c r="A159" s="11" t="str">
        <v>UPDATE DETAILS</v>
      </c>
      <c r="B159" s="11" t="str">
        <v>SET SCHEDULE</v>
      </c>
      <c r="F159" s="17" t="s">
        <v>279</v>
      </c>
      <c r="G159" t="str">
        <v xml:space="preserve">Nicolo, Danielle / Stulman, James / Hugo, Jonathan - </v>
      </c>
      <c r="H159" t="s">
        <v>279</v>
      </c>
      <c r="J159" s="17" t="s">
        <v>15</v>
      </c>
      <c r="K159" s="19" t="s">
        <v>212</v>
      </c>
      <c r="L159" s="17" t="s">
        <v>61</v>
      </c>
      <c r="M159" s="17" t="str">
        <f ca="1"/>
        <v>UNKNOWN</v>
      </c>
      <c r="N159" s="17" t="s">
        <v>15</v>
      </c>
      <c r="O159" s="13" t="str">
        <f ca="1"/>
        <v/>
      </c>
      <c r="P159" s="13" t="str">
        <f ca="1"/>
        <v/>
      </c>
      <c r="Q159" s="13" t="str">
        <f ca="1"/>
        <v/>
      </c>
      <c r="R159" s="17" t="str">
        <f ca="1"/>
        <v/>
      </c>
      <c r="S159" t="str">
        <f ca="1"/>
        <v/>
      </c>
      <c r="T159" s="20" t="str">
        <v/>
      </c>
    </row>
    <row r="160" spans="1:20" ht="12.75">
      <c r="A160" s="11" t="str">
        <v>UPDATE DETAILS</v>
      </c>
      <c r="B160" s="11" t="str">
        <v>SET SCHEDULE</v>
      </c>
      <c r="C160" s="17" t="s">
        <v>597</v>
      </c>
      <c r="D160" s="17" t="s">
        <v>496</v>
      </c>
      <c r="E160" s="17" t="s">
        <v>598</v>
      </c>
      <c r="F160" s="17" t="s">
        <v>492</v>
      </c>
      <c r="G160" t="str">
        <v xml:space="preserve">NY Cardiology - 1305 York Ave - Cardiology - [OFFICE] - </v>
      </c>
      <c r="H160" t="s">
        <v>308</v>
      </c>
      <c r="J160" s="17" t="s">
        <v>15</v>
      </c>
      <c r="K160" s="19" t="s">
        <v>309</v>
      </c>
      <c r="L160" s="17" t="s">
        <v>53</v>
      </c>
      <c r="M160" s="17" t="str">
        <f ca="1"/>
        <v>UNKNOWN</v>
      </c>
      <c r="N160" s="17" t="s">
        <v>15</v>
      </c>
      <c r="O160" s="13" t="str">
        <f ca="1"/>
        <v/>
      </c>
      <c r="P160" s="13" t="str">
        <f ca="1"/>
        <v/>
      </c>
      <c r="Q160" s="13" t="str">
        <f ca="1"/>
        <v/>
      </c>
      <c r="R160" s="17" t="str">
        <f ca="1"/>
        <v/>
      </c>
      <c r="S160" t="str">
        <f ca="1"/>
        <v/>
      </c>
      <c r="T160" s="20" t="str">
        <v/>
      </c>
    </row>
    <row r="161" spans="1:20" ht="12.75">
      <c r="A161" s="11" t="str">
        <v>UPDATE DETAILS</v>
      </c>
      <c r="B161" s="11" t="str">
        <v>SET SCHEDULE</v>
      </c>
      <c r="C161" s="17" t="s">
        <v>597</v>
      </c>
      <c r="D161" s="17" t="s">
        <v>496</v>
      </c>
      <c r="E161" s="17" t="s">
        <v>598</v>
      </c>
      <c r="F161" s="17" t="s">
        <v>599</v>
      </c>
      <c r="G161" t="str">
        <v xml:space="preserve">NY Cardiology - 1305 York Ave - Cardiology - Ascunce, Rebecca - </v>
      </c>
      <c r="H161" t="s">
        <v>310</v>
      </c>
      <c r="J161" s="17" t="s">
        <v>15</v>
      </c>
      <c r="K161" s="19" t="s">
        <v>309</v>
      </c>
      <c r="L161" s="17" t="s">
        <v>53</v>
      </c>
      <c r="M161" s="17" t="str">
        <f ca="1"/>
        <v>UNKNOWN</v>
      </c>
      <c r="N161" s="17" t="s">
        <v>15</v>
      </c>
      <c r="O161" s="13" t="str">
        <f ca="1"/>
        <v/>
      </c>
      <c r="P161" s="13" t="str">
        <f ca="1"/>
        <v/>
      </c>
      <c r="Q161" s="13" t="str">
        <f ca="1"/>
        <v/>
      </c>
      <c r="R161" s="17" t="str">
        <f ca="1"/>
        <v/>
      </c>
      <c r="S161" t="str">
        <f ca="1"/>
        <v/>
      </c>
      <c r="T161" s="20" t="str">
        <v/>
      </c>
    </row>
    <row r="162" spans="1:20" ht="12.75">
      <c r="A162" s="11" t="str">
        <v>UPDATE DETAILS</v>
      </c>
      <c r="B162" s="11" t="str">
        <v>SET SCHEDULE</v>
      </c>
      <c r="C162" s="17" t="s">
        <v>597</v>
      </c>
      <c r="D162" s="17" t="s">
        <v>496</v>
      </c>
      <c r="E162" s="17" t="s">
        <v>598</v>
      </c>
      <c r="F162" s="17" t="s">
        <v>600</v>
      </c>
      <c r="G162" t="str">
        <v xml:space="preserve">NY Cardiology - 1305 York Ave - Cardiology - Bernard, John - </v>
      </c>
      <c r="H162" t="s">
        <v>311</v>
      </c>
      <c r="J162" s="17" t="s">
        <v>15</v>
      </c>
      <c r="K162" s="19" t="s">
        <v>309</v>
      </c>
      <c r="L162" s="17" t="s">
        <v>53</v>
      </c>
      <c r="M162" s="17" t="str">
        <f ca="1"/>
        <v>UNKNOWN</v>
      </c>
      <c r="N162" s="17" t="s">
        <v>15</v>
      </c>
      <c r="O162" s="13" t="str">
        <f ca="1"/>
        <v/>
      </c>
      <c r="P162" s="13" t="str">
        <f ca="1"/>
        <v/>
      </c>
      <c r="Q162" s="13" t="str">
        <f ca="1"/>
        <v/>
      </c>
      <c r="R162" s="17" t="str">
        <f ca="1"/>
        <v/>
      </c>
      <c r="S162" t="str">
        <f ca="1"/>
        <v/>
      </c>
      <c r="T162" s="20" t="str">
        <v/>
      </c>
    </row>
    <row r="163" spans="1:20" ht="12.75">
      <c r="A163" s="11" t="str">
        <v>UPDATE DETAILS</v>
      </c>
      <c r="B163" s="11" t="str">
        <v>SET SCHEDULE</v>
      </c>
      <c r="C163" s="17" t="s">
        <v>597</v>
      </c>
      <c r="D163" s="17" t="s">
        <v>496</v>
      </c>
      <c r="E163" s="17" t="s">
        <v>598</v>
      </c>
      <c r="F163" s="17" t="s">
        <v>601</v>
      </c>
      <c r="G163" t="str">
        <v xml:space="preserve">NY Cardiology - 1305 York Ave - Cardiology - Borden, William - </v>
      </c>
      <c r="H163" t="s">
        <v>312</v>
      </c>
      <c r="J163" s="17" t="s">
        <v>15</v>
      </c>
      <c r="K163" s="19" t="s">
        <v>309</v>
      </c>
      <c r="L163" s="17" t="s">
        <v>53</v>
      </c>
      <c r="M163" s="17" t="str">
        <f ca="1"/>
        <v>UNKNOWN</v>
      </c>
      <c r="N163" s="17" t="s">
        <v>15</v>
      </c>
      <c r="O163" s="13" t="str">
        <f ca="1"/>
        <v/>
      </c>
      <c r="P163" s="13" t="str">
        <f ca="1"/>
        <v/>
      </c>
      <c r="Q163" s="13" t="str">
        <f ca="1"/>
        <v/>
      </c>
      <c r="R163" s="17" t="str">
        <f ca="1"/>
        <v/>
      </c>
      <c r="S163" t="str">
        <f ca="1"/>
        <v/>
      </c>
      <c r="T163" s="20" t="str">
        <v/>
      </c>
    </row>
    <row r="164" spans="1:20" ht="12.75">
      <c r="A164" s="11" t="str">
        <v>UPDATE DETAILS</v>
      </c>
      <c r="B164" s="11" t="str">
        <v>SET SCHEDULE</v>
      </c>
      <c r="C164" s="17" t="s">
        <v>597</v>
      </c>
      <c r="D164" s="17" t="s">
        <v>496</v>
      </c>
      <c r="E164" s="17" t="s">
        <v>598</v>
      </c>
      <c r="F164" s="17" t="s">
        <v>602</v>
      </c>
      <c r="G164" t="str">
        <v xml:space="preserve">NY Cardiology - 1305 York Ave - Cardiology - Feldman, Dimtry - </v>
      </c>
      <c r="H164" t="s">
        <v>313</v>
      </c>
      <c r="J164" s="17" t="s">
        <v>15</v>
      </c>
      <c r="K164" s="19" t="s">
        <v>309</v>
      </c>
      <c r="L164" s="17" t="s">
        <v>53</v>
      </c>
      <c r="M164" s="17" t="str">
        <f ca="1"/>
        <v>UNKNOWN</v>
      </c>
      <c r="N164" s="17" t="s">
        <v>15</v>
      </c>
      <c r="O164" s="13" t="str">
        <f ca="1"/>
        <v/>
      </c>
      <c r="P164" s="13" t="str">
        <f ca="1"/>
        <v/>
      </c>
      <c r="Q164" s="13" t="str">
        <f ca="1"/>
        <v/>
      </c>
      <c r="R164" s="17" t="str">
        <f ca="1"/>
        <v/>
      </c>
      <c r="S164" t="str">
        <f ca="1"/>
        <v/>
      </c>
      <c r="T164" s="20" t="str">
        <v/>
      </c>
    </row>
    <row r="165" spans="1:20" ht="12.75">
      <c r="A165" s="11" t="str">
        <v>UPDATE DETAILS</v>
      </c>
      <c r="B165" s="11" t="str">
        <v>SET SCHEDULE</v>
      </c>
      <c r="C165" s="17" t="s">
        <v>597</v>
      </c>
      <c r="D165" s="17" t="s">
        <v>496</v>
      </c>
      <c r="E165" s="17" t="s">
        <v>598</v>
      </c>
      <c r="F165" s="17" t="s">
        <v>603</v>
      </c>
      <c r="G165" t="str">
        <v xml:space="preserve">NY Cardiology - 1305 York Ave - Cardiology - Gelbman, Joy Marla - </v>
      </c>
      <c r="H165" t="s">
        <v>314</v>
      </c>
      <c r="J165" s="17" t="s">
        <v>15</v>
      </c>
      <c r="K165" s="19" t="s">
        <v>309</v>
      </c>
      <c r="L165" s="17" t="s">
        <v>53</v>
      </c>
      <c r="M165" s="17" t="str">
        <f ca="1"/>
        <v>UNKNOWN</v>
      </c>
      <c r="N165" s="17" t="s">
        <v>15</v>
      </c>
      <c r="O165" s="13" t="str">
        <f ca="1"/>
        <v/>
      </c>
      <c r="P165" s="13" t="str">
        <f ca="1"/>
        <v/>
      </c>
      <c r="Q165" s="13" t="str">
        <f ca="1"/>
        <v/>
      </c>
      <c r="R165" s="17" t="str">
        <f ca="1"/>
        <v/>
      </c>
      <c r="S165" t="str">
        <f ca="1"/>
        <v/>
      </c>
      <c r="T165" s="20" t="str">
        <v/>
      </c>
    </row>
    <row r="166" spans="1:20" ht="12.75">
      <c r="A166" s="11" t="str">
        <v>UPDATE DETAILS</v>
      </c>
      <c r="B166" s="11" t="str">
        <v>SET SCHEDULE</v>
      </c>
      <c r="C166" s="17" t="s">
        <v>597</v>
      </c>
      <c r="D166" s="17" t="s">
        <v>496</v>
      </c>
      <c r="E166" s="17" t="s">
        <v>598</v>
      </c>
      <c r="F166" s="17" t="s">
        <v>604</v>
      </c>
      <c r="G166" t="str">
        <v xml:space="preserve">NY Cardiology - 1305 York Ave - Cardiology - Kaplan, Sarah - </v>
      </c>
      <c r="H166" t="s">
        <v>315</v>
      </c>
      <c r="J166" s="17" t="s">
        <v>15</v>
      </c>
      <c r="K166" s="19" t="s">
        <v>309</v>
      </c>
      <c r="L166" s="17" t="s">
        <v>53</v>
      </c>
      <c r="M166" s="17" t="str">
        <f ca="1"/>
        <v>UNKNOWN</v>
      </c>
      <c r="N166" s="17" t="s">
        <v>15</v>
      </c>
      <c r="O166" s="13" t="str">
        <f ca="1"/>
        <v/>
      </c>
      <c r="P166" s="13" t="str">
        <f ca="1"/>
        <v/>
      </c>
      <c r="Q166" s="13" t="str">
        <f ca="1"/>
        <v/>
      </c>
      <c r="R166" s="17" t="str">
        <f ca="1"/>
        <v/>
      </c>
      <c r="S166" t="str">
        <f ca="1"/>
        <v/>
      </c>
      <c r="T166" s="20" t="str">
        <v/>
      </c>
    </row>
    <row r="167" spans="1:20" ht="12.75">
      <c r="A167" s="11" t="str">
        <v>UPDATE DETAILS</v>
      </c>
      <c r="B167" s="11" t="str">
        <v>SET SCHEDULE</v>
      </c>
      <c r="C167" s="17" t="s">
        <v>597</v>
      </c>
      <c r="D167" s="17" t="s">
        <v>496</v>
      </c>
      <c r="E167" s="17" t="s">
        <v>598</v>
      </c>
      <c r="F167" s="17" t="s">
        <v>605</v>
      </c>
      <c r="G167" t="str">
        <v xml:space="preserve">NY Cardiology - 1305 York Ave - Cardiology - Kim, Luke K - </v>
      </c>
      <c r="H167" t="s">
        <v>316</v>
      </c>
      <c r="J167" s="17" t="s">
        <v>15</v>
      </c>
      <c r="K167" s="19" t="s">
        <v>309</v>
      </c>
      <c r="L167" s="17" t="s">
        <v>53</v>
      </c>
      <c r="M167" s="17" t="str">
        <f ca="1"/>
        <v>UNKNOWN</v>
      </c>
      <c r="N167" s="17" t="s">
        <v>15</v>
      </c>
      <c r="O167" s="13" t="str">
        <f ca="1"/>
        <v/>
      </c>
      <c r="P167" s="13" t="str">
        <f ca="1"/>
        <v/>
      </c>
      <c r="Q167" s="13" t="str">
        <f ca="1"/>
        <v/>
      </c>
      <c r="R167" s="17" t="str">
        <f ca="1"/>
        <v/>
      </c>
      <c r="S167" t="str">
        <f ca="1"/>
        <v/>
      </c>
      <c r="T167" s="20" t="str">
        <v/>
      </c>
    </row>
    <row r="168" spans="1:20" ht="12.75">
      <c r="A168" s="11" t="str">
        <v>UPDATE DETAILS</v>
      </c>
      <c r="B168" s="11" t="str">
        <v>SET SCHEDULE</v>
      </c>
      <c r="C168" s="17" t="s">
        <v>597</v>
      </c>
      <c r="D168" s="17" t="s">
        <v>496</v>
      </c>
      <c r="E168" s="17" t="s">
        <v>598</v>
      </c>
      <c r="F168" s="17" t="s">
        <v>606</v>
      </c>
      <c r="G168" t="str">
        <v xml:space="preserve">NY Cardiology - 1305 York Ave - Cardiology - Minutello, Robert - </v>
      </c>
      <c r="H168" t="s">
        <v>317</v>
      </c>
      <c r="J168" s="17" t="s">
        <v>15</v>
      </c>
      <c r="K168" s="19" t="s">
        <v>309</v>
      </c>
      <c r="L168" s="17" t="s">
        <v>53</v>
      </c>
      <c r="M168" s="17" t="str">
        <f ca="1"/>
        <v>UNKNOWN</v>
      </c>
      <c r="N168" s="17" t="s">
        <v>15</v>
      </c>
      <c r="O168" s="13" t="str">
        <f ca="1"/>
        <v/>
      </c>
      <c r="P168" s="13" t="str">
        <f ca="1"/>
        <v/>
      </c>
      <c r="Q168" s="13" t="str">
        <f ca="1"/>
        <v/>
      </c>
      <c r="R168" s="17" t="str">
        <f ca="1"/>
        <v/>
      </c>
      <c r="S168" t="str">
        <f ca="1"/>
        <v/>
      </c>
      <c r="T168" s="20" t="str">
        <v/>
      </c>
    </row>
    <row r="169" spans="1:20" ht="12.75">
      <c r="A169" s="11" t="str">
        <v>UPDATE DETAILS</v>
      </c>
      <c r="B169" s="11" t="str">
        <v>SET SCHEDULE</v>
      </c>
      <c r="C169" s="17" t="s">
        <v>607</v>
      </c>
      <c r="E169" s="17" t="s">
        <v>608</v>
      </c>
      <c r="G169" t="str">
        <v xml:space="preserve">NYH - Endocrine Baker 20 - </v>
      </c>
      <c r="H169" t="s">
        <v>424</v>
      </c>
      <c r="J169" s="17" t="s">
        <v>553</v>
      </c>
      <c r="K169" s="19" t="s">
        <v>206</v>
      </c>
      <c r="L169" s="17" t="s">
        <v>62</v>
      </c>
      <c r="M169" s="17" t="str">
        <f ca="1"/>
        <v>UNKNOWN</v>
      </c>
      <c r="N169" s="17" t="s">
        <v>15</v>
      </c>
      <c r="O169" s="13" t="str">
        <f ca="1"/>
        <v/>
      </c>
      <c r="P169" s="13" t="str">
        <f ca="1"/>
        <v/>
      </c>
      <c r="Q169" s="13" t="str">
        <f ca="1"/>
        <v/>
      </c>
      <c r="R169" s="17" t="str">
        <f ca="1"/>
        <v/>
      </c>
      <c r="S169" t="str">
        <f ca="1"/>
        <v/>
      </c>
      <c r="T169" s="20" t="str">
        <v/>
      </c>
    </row>
    <row r="170" spans="1:20" ht="12.75">
      <c r="A170" s="11" t="str">
        <v>UPDATE DETAILS</v>
      </c>
      <c r="B170" s="11" t="str">
        <v>SET SCHEDULE</v>
      </c>
      <c r="F170" s="17" t="s">
        <v>425</v>
      </c>
      <c r="G170" t="str">
        <v xml:space="preserve">Olsen, Sonja Kristine / Brown, Robert / Fox, Allison / Lavine, S - </v>
      </c>
      <c r="H170" t="s">
        <v>425</v>
      </c>
      <c r="J170" s="17" t="s">
        <v>15</v>
      </c>
      <c r="K170" s="19" t="s">
        <v>426</v>
      </c>
      <c r="L170" s="17" t="s">
        <v>62</v>
      </c>
      <c r="M170" s="17" t="str">
        <f ca="1"/>
        <v>UNKNOWN</v>
      </c>
      <c r="N170" s="17" t="s">
        <v>15</v>
      </c>
      <c r="O170" s="13" t="str">
        <f ca="1"/>
        <v/>
      </c>
      <c r="P170" s="13" t="str">
        <f ca="1"/>
        <v/>
      </c>
      <c r="Q170" s="13" t="str">
        <f ca="1"/>
        <v/>
      </c>
      <c r="R170" s="17" t="str">
        <f ca="1"/>
        <v/>
      </c>
      <c r="S170" t="str">
        <f ca="1"/>
        <v/>
      </c>
      <c r="T170" s="20" t="str">
        <v/>
      </c>
    </row>
    <row r="171" spans="1:20" ht="12.75">
      <c r="A171" s="11" t="str">
        <v>UPDATE DETAILS</v>
      </c>
      <c r="B171" s="11" t="str">
        <v>SET SCHEDULE</v>
      </c>
      <c r="F171" s="17" t="s">
        <v>427</v>
      </c>
      <c r="G171" t="str">
        <v xml:space="preserve">Olson, Mary - </v>
      </c>
      <c r="H171" t="s">
        <v>427</v>
      </c>
      <c r="J171" s="17" t="s">
        <v>15</v>
      </c>
      <c r="K171" s="19" t="s">
        <v>428</v>
      </c>
      <c r="L171" s="17" t="s">
        <v>62</v>
      </c>
      <c r="M171" s="17" t="str">
        <f ca="1"/>
        <v>UNKNOWN</v>
      </c>
      <c r="N171" s="17" t="s">
        <v>15</v>
      </c>
      <c r="O171" s="13" t="str">
        <f ca="1"/>
        <v/>
      </c>
      <c r="P171" s="13" t="str">
        <f ca="1"/>
        <v/>
      </c>
      <c r="Q171" s="13" t="str">
        <f ca="1"/>
        <v/>
      </c>
      <c r="R171" s="17" t="str">
        <f ca="1"/>
        <v/>
      </c>
      <c r="S171" t="str">
        <f ca="1"/>
        <v/>
      </c>
      <c r="T171" s="20" t="str">
        <v/>
      </c>
    </row>
    <row r="172" spans="1:20" ht="12.75">
      <c r="A172" s="11" t="str">
        <v>UPDATE DETAILS</v>
      </c>
      <c r="B172" s="11" t="str">
        <v>SET SCHEDULE</v>
      </c>
      <c r="C172" s="17" t="s">
        <v>215</v>
      </c>
      <c r="G172" t="str">
        <v xml:space="preserve">OXF-200 - </v>
      </c>
      <c r="H172" t="s">
        <v>215</v>
      </c>
      <c r="J172" s="17" t="s">
        <v>15</v>
      </c>
      <c r="K172" s="19" t="s">
        <v>216</v>
      </c>
      <c r="L172" s="17" t="s">
        <v>59</v>
      </c>
      <c r="M172" s="17" t="str">
        <f ca="1"/>
        <v>UNKNOWN</v>
      </c>
      <c r="N172" s="17" t="s">
        <v>15</v>
      </c>
      <c r="O172" s="13" t="str">
        <f ca="1"/>
        <v/>
      </c>
      <c r="P172" s="13" t="str">
        <f ca="1"/>
        <v/>
      </c>
      <c r="Q172" s="13" t="str">
        <f ca="1"/>
        <v/>
      </c>
      <c r="R172" s="17" t="str">
        <f ca="1"/>
        <v/>
      </c>
      <c r="S172" t="str">
        <f ca="1"/>
        <v/>
      </c>
      <c r="T172" s="20" t="str">
        <v/>
      </c>
    </row>
    <row r="173" spans="1:20" ht="12.75">
      <c r="A173" s="11" t="str">
        <v>UPDATE DETAILS</v>
      </c>
      <c r="B173" s="11" t="str">
        <v>SET SCHEDULE</v>
      </c>
      <c r="C173" s="17" t="s">
        <v>609</v>
      </c>
      <c r="F173" s="17" t="s">
        <v>492</v>
      </c>
      <c r="G173" t="str">
        <v xml:space="preserve">OXF-300 - [OFFICE] - </v>
      </c>
      <c r="H173" t="s">
        <v>429</v>
      </c>
      <c r="J173" s="17" t="s">
        <v>15</v>
      </c>
      <c r="K173" s="19" t="s">
        <v>430</v>
      </c>
      <c r="L173" s="17" t="s">
        <v>62</v>
      </c>
      <c r="M173" s="17" t="str">
        <f ca="1"/>
        <v>UNKNOWN</v>
      </c>
      <c r="N173" s="17" t="s">
        <v>15</v>
      </c>
      <c r="O173" s="13" t="str">
        <f ca="1"/>
        <v/>
      </c>
      <c r="P173" s="13" t="str">
        <f ca="1"/>
        <v/>
      </c>
      <c r="Q173" s="13" t="str">
        <f ca="1"/>
        <v/>
      </c>
      <c r="R173" s="17" t="str">
        <f ca="1"/>
        <v/>
      </c>
      <c r="S173" t="str">
        <f ca="1"/>
        <v/>
      </c>
      <c r="T173" s="20" t="str">
        <v/>
      </c>
    </row>
    <row r="174" spans="1:20" ht="12.75">
      <c r="A174" s="11" t="str">
        <v>UPDATE DETAILS</v>
      </c>
      <c r="B174" s="11" t="str">
        <v>SET SCHEDULE</v>
      </c>
      <c r="C174" s="17" t="s">
        <v>609</v>
      </c>
      <c r="F174" s="17" t="s">
        <v>610</v>
      </c>
      <c r="G174" t="str">
        <v xml:space="preserve">OXF-300 - Niesvizky, Rubin - </v>
      </c>
      <c r="H174" t="s">
        <v>431</v>
      </c>
      <c r="J174" s="17" t="s">
        <v>15</v>
      </c>
      <c r="K174" s="19" t="s">
        <v>430</v>
      </c>
      <c r="L174" s="17" t="s">
        <v>62</v>
      </c>
      <c r="M174" s="17" t="str">
        <f ca="1"/>
        <v>UNKNOWN</v>
      </c>
      <c r="N174" s="17" t="s">
        <v>15</v>
      </c>
      <c r="O174" s="13" t="str">
        <f ca="1"/>
        <v/>
      </c>
      <c r="P174" s="13" t="str">
        <f ca="1"/>
        <v/>
      </c>
      <c r="Q174" s="13" t="str">
        <f ca="1"/>
        <v/>
      </c>
      <c r="R174" s="17" t="str">
        <f ca="1"/>
        <v/>
      </c>
      <c r="S174" t="str">
        <f ca="1"/>
        <v/>
      </c>
      <c r="T174" s="20" t="str">
        <v/>
      </c>
    </row>
    <row r="175" spans="1:20" ht="12.75">
      <c r="A175" s="11" t="str">
        <v>UPDATE DETAILS</v>
      </c>
      <c r="B175" s="11" t="str">
        <v>SET SCHEDULE</v>
      </c>
      <c r="C175" s="17" t="s">
        <v>609</v>
      </c>
      <c r="F175" s="17" t="s">
        <v>611</v>
      </c>
      <c r="G175" t="str">
        <v xml:space="preserve">OXF-300 - Pearse, Roger - </v>
      </c>
      <c r="H175" t="s">
        <v>432</v>
      </c>
      <c r="J175" s="17" t="s">
        <v>15</v>
      </c>
      <c r="K175" s="19" t="s">
        <v>430</v>
      </c>
      <c r="L175" s="17" t="s">
        <v>62</v>
      </c>
      <c r="M175" s="17" t="str">
        <f ca="1"/>
        <v>UNKNOWN</v>
      </c>
      <c r="N175" s="17" t="s">
        <v>15</v>
      </c>
      <c r="O175" s="13" t="str">
        <f ca="1"/>
        <v/>
      </c>
      <c r="P175" s="13" t="str">
        <f ca="1"/>
        <v/>
      </c>
      <c r="Q175" s="13" t="str">
        <f ca="1"/>
        <v/>
      </c>
      <c r="R175" s="17" t="str">
        <f ca="1"/>
        <v/>
      </c>
      <c r="S175" t="str">
        <f ca="1"/>
        <v/>
      </c>
      <c r="T175" s="20" t="str">
        <v/>
      </c>
    </row>
    <row r="176" spans="1:20" ht="12.75">
      <c r="A176" s="11" t="str">
        <v>UPDATE DETAILS</v>
      </c>
      <c r="B176" s="11" t="str">
        <v>SET SCHEDULE</v>
      </c>
      <c r="C176" s="17" t="s">
        <v>609</v>
      </c>
      <c r="F176" s="17" t="s">
        <v>612</v>
      </c>
      <c r="G176" t="str">
        <v xml:space="preserve">OXF-300 - Tomer, Mark - </v>
      </c>
      <c r="H176" t="s">
        <v>433</v>
      </c>
      <c r="J176" s="17" t="s">
        <v>15</v>
      </c>
      <c r="K176" s="19" t="s">
        <v>430</v>
      </c>
      <c r="L176" s="17" t="s">
        <v>62</v>
      </c>
      <c r="M176" s="17" t="str">
        <f ca="1"/>
        <v>UNKNOWN</v>
      </c>
      <c r="N176" s="17" t="s">
        <v>15</v>
      </c>
      <c r="O176" s="13" t="str">
        <f ca="1"/>
        <v/>
      </c>
      <c r="P176" s="13" t="str">
        <f ca="1"/>
        <v/>
      </c>
      <c r="Q176" s="13" t="str">
        <f ca="1"/>
        <v/>
      </c>
      <c r="R176" s="17" t="str">
        <f ca="1"/>
        <v/>
      </c>
      <c r="S176" t="str">
        <f ca="1"/>
        <v/>
      </c>
      <c r="T176" s="20" t="str">
        <v/>
      </c>
    </row>
    <row r="177" spans="1:20" ht="12.75">
      <c r="A177" s="11" t="str">
        <v>UPDATE DETAILS</v>
      </c>
      <c r="B177" s="11" t="str">
        <v>SET SCHEDULE</v>
      </c>
      <c r="C177" s="17" t="s">
        <v>613</v>
      </c>
      <c r="F177" s="17" t="s">
        <v>492</v>
      </c>
      <c r="G177" t="str">
        <v xml:space="preserve">OXF-600 - [OFFICE] - </v>
      </c>
      <c r="H177" t="s">
        <v>318</v>
      </c>
      <c r="J177" s="17" t="s">
        <v>15</v>
      </c>
      <c r="K177" s="19" t="s">
        <v>307</v>
      </c>
      <c r="L177" s="17" t="s">
        <v>53</v>
      </c>
      <c r="M177" s="17" t="str">
        <f ca="1"/>
        <v>UNKNOWN</v>
      </c>
      <c r="N177" s="17" t="s">
        <v>15</v>
      </c>
      <c r="O177" s="13" t="str">
        <f ca="1"/>
        <v/>
      </c>
      <c r="P177" s="13" t="str">
        <f ca="1"/>
        <v/>
      </c>
      <c r="Q177" s="13" t="str">
        <f ca="1"/>
        <v/>
      </c>
      <c r="R177" s="17" t="str">
        <f ca="1"/>
        <v/>
      </c>
      <c r="S177" t="str">
        <f ca="1"/>
        <v/>
      </c>
      <c r="T177" s="20" t="str">
        <v/>
      </c>
    </row>
    <row r="178" spans="1:20" ht="12.75">
      <c r="A178" s="11" t="str">
        <v>UPDATE DETAILS</v>
      </c>
      <c r="B178" s="11" t="str">
        <v>SET SCHEDULE</v>
      </c>
      <c r="C178" s="17" t="s">
        <v>613</v>
      </c>
      <c r="F178" s="17" t="s">
        <v>614</v>
      </c>
      <c r="G178" t="str">
        <v xml:space="preserve">OXF-600 - Gade, Christopher - </v>
      </c>
      <c r="H178" t="s">
        <v>319</v>
      </c>
      <c r="J178" s="17" t="s">
        <v>15</v>
      </c>
      <c r="K178" s="19" t="s">
        <v>307</v>
      </c>
      <c r="L178" s="17" t="s">
        <v>53</v>
      </c>
      <c r="M178" s="17" t="str">
        <f ca="1"/>
        <v>UNKNOWN</v>
      </c>
      <c r="N178" s="17" t="s">
        <v>15</v>
      </c>
      <c r="O178" s="13" t="str">
        <f ca="1"/>
        <v/>
      </c>
      <c r="P178" s="13" t="str">
        <f ca="1"/>
        <v/>
      </c>
      <c r="Q178" s="13" t="str">
        <f ca="1"/>
        <v/>
      </c>
      <c r="R178" s="17" t="str">
        <f ca="1"/>
        <v/>
      </c>
      <c r="S178" t="str">
        <f ca="1"/>
        <v/>
      </c>
      <c r="T178" s="20" t="str">
        <v/>
      </c>
    </row>
    <row r="179" spans="1:20" ht="12.75">
      <c r="A179" s="11" t="str">
        <v>UPDATE DETAILS</v>
      </c>
      <c r="B179" s="11" t="str">
        <v>SET SCHEDULE</v>
      </c>
      <c r="C179" s="17" t="s">
        <v>613</v>
      </c>
      <c r="F179" s="17" t="s">
        <v>615</v>
      </c>
      <c r="G179" t="str">
        <v xml:space="preserve">OXF-600 - Wilentz, James - </v>
      </c>
      <c r="H179" t="s">
        <v>320</v>
      </c>
      <c r="J179" s="17" t="s">
        <v>15</v>
      </c>
      <c r="K179" s="19" t="s">
        <v>307</v>
      </c>
      <c r="L179" s="17" t="s">
        <v>53</v>
      </c>
      <c r="M179" s="17" t="str">
        <f ca="1"/>
        <v>UNKNOWN</v>
      </c>
      <c r="N179" s="17" t="s">
        <v>15</v>
      </c>
      <c r="O179" s="13" t="str">
        <f ca="1"/>
        <v/>
      </c>
      <c r="P179" s="13" t="str">
        <f ca="1"/>
        <v/>
      </c>
      <c r="Q179" s="13" t="str">
        <f ca="1"/>
        <v/>
      </c>
      <c r="R179" s="17" t="str">
        <f ca="1"/>
        <v/>
      </c>
      <c r="S179" t="str">
        <f ca="1"/>
        <v/>
      </c>
      <c r="T179" s="20" t="str">
        <v/>
      </c>
    </row>
    <row r="180" spans="1:20" ht="12.75">
      <c r="A180" s="11" t="str">
        <v>UPDATE DETAILS</v>
      </c>
      <c r="B180" s="11" t="str">
        <v>SET SCHEDULE</v>
      </c>
      <c r="C180" s="17" t="s">
        <v>613</v>
      </c>
      <c r="F180" s="17" t="s">
        <v>616</v>
      </c>
      <c r="G180" t="str">
        <v xml:space="preserve">OXF-600 - Yang, Yi Ming - </v>
      </c>
      <c r="H180" t="s">
        <v>321</v>
      </c>
      <c r="J180" s="17" t="s">
        <v>15</v>
      </c>
      <c r="K180" s="19" t="s">
        <v>307</v>
      </c>
      <c r="L180" s="17" t="s">
        <v>53</v>
      </c>
      <c r="M180" s="17" t="str">
        <f ca="1"/>
        <v>UNKNOWN</v>
      </c>
      <c r="N180" s="17" t="s">
        <v>15</v>
      </c>
      <c r="O180" s="13" t="str">
        <f ca="1"/>
        <v/>
      </c>
      <c r="P180" s="13" t="str">
        <f ca="1"/>
        <v/>
      </c>
      <c r="Q180" s="13" t="str">
        <f ca="1"/>
        <v/>
      </c>
      <c r="R180" s="17" t="str">
        <f ca="1"/>
        <v/>
      </c>
      <c r="S180" t="str">
        <f ca="1"/>
        <v/>
      </c>
      <c r="T180" s="20" t="str">
        <v/>
      </c>
    </row>
    <row r="181" spans="1:20" ht="12.75">
      <c r="A181" s="11" t="str">
        <v>UPDATE DETAILS</v>
      </c>
      <c r="B181" s="11" t="str">
        <v>SET SCHEDULE</v>
      </c>
      <c r="F181" s="17" t="s">
        <v>434</v>
      </c>
      <c r="G181" t="str">
        <v xml:space="preserve">Pasmantier, Mark , Coleman, Morton, Decter, Julian - </v>
      </c>
      <c r="H181" t="s">
        <v>434</v>
      </c>
      <c r="J181" s="17" t="s">
        <v>15</v>
      </c>
      <c r="K181" s="19" t="s">
        <v>435</v>
      </c>
      <c r="L181" s="17" t="s">
        <v>62</v>
      </c>
      <c r="M181" s="17" t="str">
        <f ca="1"/>
        <v>UNKNOWN</v>
      </c>
      <c r="N181" s="17" t="s">
        <v>15</v>
      </c>
      <c r="O181" s="13" t="str">
        <f ca="1"/>
        <v/>
      </c>
      <c r="P181" s="13" t="str">
        <f ca="1"/>
        <v/>
      </c>
      <c r="Q181" s="13" t="str">
        <f ca="1"/>
        <v/>
      </c>
      <c r="R181" s="17" t="str">
        <f ca="1"/>
        <v/>
      </c>
      <c r="S181" t="str">
        <f ca="1"/>
        <v/>
      </c>
      <c r="T181" s="20" t="str">
        <v/>
      </c>
    </row>
    <row r="182" spans="1:20" ht="12.75">
      <c r="A182" s="11" t="str">
        <v>UPDATE DETAILS</v>
      </c>
      <c r="B182" s="11" t="str">
        <v>SET SCHEDULE</v>
      </c>
      <c r="F182" s="17" t="s">
        <v>217</v>
      </c>
      <c r="G182" t="str">
        <v xml:space="preserve">Patel, Sarju - </v>
      </c>
      <c r="H182" t="s">
        <v>217</v>
      </c>
      <c r="J182" s="17" t="s">
        <v>15</v>
      </c>
      <c r="K182" s="19" t="s">
        <v>218</v>
      </c>
      <c r="L182" s="17" t="s">
        <v>59</v>
      </c>
      <c r="M182" s="17" t="str">
        <f ca="1"/>
        <v>UNKNOWN</v>
      </c>
      <c r="N182" s="17" t="s">
        <v>15</v>
      </c>
      <c r="O182" s="13" t="str">
        <f ca="1"/>
        <v/>
      </c>
      <c r="P182" s="13" t="str">
        <f ca="1"/>
        <v/>
      </c>
      <c r="Q182" s="13" t="str">
        <f ca="1"/>
        <v/>
      </c>
      <c r="R182" s="17" t="str">
        <f ca="1"/>
        <v/>
      </c>
      <c r="S182" t="str">
        <f ca="1"/>
        <v/>
      </c>
      <c r="T182" s="20" t="str">
        <v/>
      </c>
    </row>
    <row r="183" spans="1:20" ht="12.75">
      <c r="A183" s="11" t="str">
        <v>UPDATE DETAILS</v>
      </c>
      <c r="B183" s="11" t="str">
        <v>SET SCHEDULE</v>
      </c>
      <c r="C183" s="17" t="s">
        <v>436</v>
      </c>
      <c r="G183" t="str">
        <v xml:space="preserve">PAYSON 3 OUTPATIENT ONCOLOGY - </v>
      </c>
      <c r="H183" t="s">
        <v>436</v>
      </c>
      <c r="J183" s="17" t="s">
        <v>15</v>
      </c>
      <c r="K183" s="19" t="s">
        <v>437</v>
      </c>
      <c r="L183" s="17" t="s">
        <v>62</v>
      </c>
      <c r="M183" s="17" t="str">
        <f ca="1"/>
        <v>UNKNOWN</v>
      </c>
      <c r="N183" s="17" t="s">
        <v>15</v>
      </c>
      <c r="O183" s="13" t="str">
        <f ca="1"/>
        <v/>
      </c>
      <c r="P183" s="13" t="str">
        <f ca="1"/>
        <v/>
      </c>
      <c r="Q183" s="13" t="str">
        <f ca="1"/>
        <v/>
      </c>
      <c r="R183" s="17" t="str">
        <f ca="1"/>
        <v/>
      </c>
      <c r="S183" s="17" t="str">
        <f ca="1"/>
        <v/>
      </c>
      <c r="T183" s="20" t="str">
        <v/>
      </c>
    </row>
    <row r="184" spans="1:20" ht="12.75">
      <c r="A184" s="11" t="str">
        <v>UPDATE DETAILS</v>
      </c>
      <c r="B184" s="11" t="str">
        <v>SET SCHEDULE</v>
      </c>
      <c r="C184" s="17" t="s">
        <v>438</v>
      </c>
      <c r="G184" t="str">
        <v xml:space="preserve">PEDS HEMO ONC - P695 - </v>
      </c>
      <c r="H184" t="s">
        <v>438</v>
      </c>
      <c r="J184" s="17" t="s">
        <v>15</v>
      </c>
      <c r="K184" s="19" t="s">
        <v>23</v>
      </c>
      <c r="L184" s="17" t="s">
        <v>62</v>
      </c>
      <c r="M184" s="17" t="str">
        <f ca="1"/>
        <v>UNKNOWN</v>
      </c>
      <c r="N184" s="17" t="s">
        <v>15</v>
      </c>
      <c r="O184" s="13" t="str">
        <f ca="1"/>
        <v/>
      </c>
      <c r="P184" s="13" t="str">
        <f ca="1"/>
        <v/>
      </c>
      <c r="Q184" s="13" t="str">
        <f ca="1"/>
        <v/>
      </c>
      <c r="R184" s="17" t="str">
        <f ca="1"/>
        <v/>
      </c>
      <c r="S184" t="str">
        <f ca="1"/>
        <v/>
      </c>
      <c r="T184" s="20" t="str">
        <v/>
      </c>
    </row>
    <row r="185" spans="1:20" ht="12.75">
      <c r="A185" s="11" t="str">
        <v>UPDATE DETAILS</v>
      </c>
      <c r="B185" s="11" t="str">
        <v>SET SCHEDULE</v>
      </c>
      <c r="F185" s="17" t="s">
        <v>322</v>
      </c>
      <c r="G185" t="str">
        <v xml:space="preserve">Perelstein, Eduardo - </v>
      </c>
      <c r="H185" t="s">
        <v>322</v>
      </c>
      <c r="J185" s="17" t="s">
        <v>15</v>
      </c>
      <c r="K185" s="19" t="s">
        <v>323</v>
      </c>
      <c r="L185" s="17" t="s">
        <v>53</v>
      </c>
      <c r="M185" s="17" t="str">
        <f ca="1"/>
        <v>UNKNOWN</v>
      </c>
      <c r="N185" s="17" t="s">
        <v>15</v>
      </c>
      <c r="O185" s="13" t="str">
        <f ca="1"/>
        <v/>
      </c>
      <c r="P185" s="13" t="str">
        <f ca="1"/>
        <v/>
      </c>
      <c r="Q185" s="13" t="str">
        <f ca="1"/>
        <v/>
      </c>
      <c r="R185" s="17" t="str">
        <f ca="1"/>
        <v/>
      </c>
      <c r="S185" t="str">
        <f ca="1"/>
        <v/>
      </c>
      <c r="T185" s="20" t="str">
        <v/>
      </c>
    </row>
    <row r="186" spans="1:20" ht="12.75">
      <c r="A186" s="11" t="str">
        <v>UPDATE DETAILS</v>
      </c>
      <c r="B186" s="11" t="str">
        <v>SET SCHEDULE</v>
      </c>
      <c r="C186" s="17" t="s">
        <v>106</v>
      </c>
      <c r="G186" t="str">
        <v xml:space="preserve">POST/PRE TRANSPLANT - </v>
      </c>
      <c r="H186" t="s">
        <v>106</v>
      </c>
      <c r="J186" s="17" t="s">
        <v>15</v>
      </c>
      <c r="K186" s="19" t="s">
        <v>107</v>
      </c>
      <c r="L186" s="17" t="s">
        <v>48</v>
      </c>
      <c r="M186" s="17" t="str">
        <f ca="1"/>
        <v>UNKNOWN</v>
      </c>
      <c r="N186" s="17" t="s">
        <v>15</v>
      </c>
      <c r="O186" s="13" t="str">
        <f ca="1"/>
        <v/>
      </c>
      <c r="P186" s="13" t="str">
        <f ca="1"/>
        <v/>
      </c>
      <c r="Q186" s="13" t="str">
        <f ca="1"/>
        <v/>
      </c>
      <c r="R186" s="17" t="str">
        <f ca="1"/>
        <v/>
      </c>
      <c r="S186" t="str">
        <f ca="1"/>
        <v/>
      </c>
      <c r="T186" s="20" t="str">
        <v/>
      </c>
    </row>
    <row r="187" spans="1:20" ht="12.75">
      <c r="A187" s="11" t="str">
        <v>UPDATE DETAILS</v>
      </c>
      <c r="B187" s="11" t="str">
        <v>SET SCHEDULE</v>
      </c>
      <c r="C187" s="17" t="s">
        <v>439</v>
      </c>
      <c r="G187" t="str">
        <v xml:space="preserve">PREIPHERAL NEUROPHATY (Group) - </v>
      </c>
      <c r="H187" t="s">
        <v>439</v>
      </c>
      <c r="J187" s="17" t="s">
        <v>15</v>
      </c>
      <c r="K187" s="19" t="s">
        <v>440</v>
      </c>
      <c r="L187" s="17" t="s">
        <v>62</v>
      </c>
      <c r="M187" s="17" t="str">
        <f ca="1"/>
        <v>UNKNOWN</v>
      </c>
      <c r="N187" s="17" t="s">
        <v>15</v>
      </c>
      <c r="O187" s="13" t="str">
        <f ca="1"/>
        <v/>
      </c>
      <c r="P187" s="13" t="str">
        <f ca="1"/>
        <v/>
      </c>
      <c r="Q187" s="13" t="str">
        <f ca="1"/>
        <v/>
      </c>
      <c r="R187" s="17" t="str">
        <f ca="1"/>
        <v/>
      </c>
      <c r="S187" t="str">
        <f ca="1"/>
        <v/>
      </c>
      <c r="T187" s="20" t="str">
        <v/>
      </c>
    </row>
    <row r="188" spans="1:20" ht="12.75">
      <c r="A188" s="11" t="str">
        <v>UPDATE DETAILS</v>
      </c>
      <c r="B188" s="11" t="str">
        <v>SET SCHEDULE</v>
      </c>
      <c r="C188" s="17" t="s">
        <v>441</v>
      </c>
      <c r="G188" t="str">
        <v xml:space="preserve">Presby Draw Station - </v>
      </c>
      <c r="H188" t="s">
        <v>441</v>
      </c>
      <c r="J188" s="17" t="s">
        <v>15</v>
      </c>
      <c r="K188" s="19" t="s">
        <v>442</v>
      </c>
      <c r="L188" s="17" t="s">
        <v>62</v>
      </c>
      <c r="M188" s="17" t="str">
        <f ca="1"/>
        <v>UNKNOWN</v>
      </c>
      <c r="N188" s="17" t="s">
        <v>15</v>
      </c>
      <c r="O188" s="13" t="str">
        <f ca="1"/>
        <v/>
      </c>
      <c r="P188" s="13" t="str">
        <f ca="1"/>
        <v/>
      </c>
      <c r="Q188" s="13" t="str">
        <f ca="1"/>
        <v/>
      </c>
      <c r="R188" s="17" t="str">
        <f ca="1"/>
        <v/>
      </c>
      <c r="S188" t="str">
        <f ca="1"/>
        <v/>
      </c>
      <c r="T188" s="20" t="str">
        <v/>
      </c>
    </row>
    <row r="189" spans="1:20" ht="12.75">
      <c r="A189" s="11" t="str">
        <v>UPDATE DETAILS</v>
      </c>
      <c r="B189" s="11" t="str">
        <v>SET SCHEDULE</v>
      </c>
      <c r="F189" s="17" t="s">
        <v>219</v>
      </c>
      <c r="G189" t="str">
        <v xml:space="preserve">Prioleau, Philip G. / Reszko, Anetta/ McGuire, Lindsay - </v>
      </c>
      <c r="H189" t="s">
        <v>219</v>
      </c>
      <c r="J189" s="17" t="s">
        <v>15</v>
      </c>
      <c r="K189" s="19" t="s">
        <v>220</v>
      </c>
      <c r="L189" s="17" t="s">
        <v>59</v>
      </c>
      <c r="M189" s="17" t="str">
        <f ca="1"/>
        <v>UNKNOWN</v>
      </c>
      <c r="N189" s="17" t="s">
        <v>15</v>
      </c>
      <c r="O189" s="13" t="str">
        <f ca="1"/>
        <v/>
      </c>
      <c r="P189" s="13" t="str">
        <f ca="1"/>
        <v/>
      </c>
      <c r="Q189" s="13" t="str">
        <f ca="1"/>
        <v/>
      </c>
      <c r="R189" s="17" t="str">
        <f ca="1"/>
        <v/>
      </c>
      <c r="S189" t="str">
        <f ca="1"/>
        <v/>
      </c>
      <c r="T189" s="20" t="str">
        <v/>
      </c>
    </row>
    <row r="190" spans="1:20" ht="12.75">
      <c r="A190" s="11" t="str">
        <v>UPDATE DETAILS</v>
      </c>
      <c r="B190" s="11" t="str">
        <v>SET SCHEDULE</v>
      </c>
      <c r="F190" s="17" t="s">
        <v>443</v>
      </c>
      <c r="G190" t="str">
        <v xml:space="preserve">Prystowsky, Janet H  - </v>
      </c>
      <c r="H190" t="s">
        <v>443</v>
      </c>
      <c r="J190" s="17" t="s">
        <v>15</v>
      </c>
      <c r="K190" s="19" t="s">
        <v>444</v>
      </c>
      <c r="L190" s="17" t="s">
        <v>62</v>
      </c>
      <c r="M190" s="17" t="str">
        <f ca="1"/>
        <v>UNKNOWN</v>
      </c>
      <c r="N190" s="17" t="s">
        <v>15</v>
      </c>
      <c r="O190" s="13" t="str">
        <f ca="1"/>
        <v/>
      </c>
      <c r="P190" s="13" t="str">
        <f ca="1"/>
        <v/>
      </c>
      <c r="Q190" s="13" t="str">
        <f ca="1"/>
        <v/>
      </c>
      <c r="R190" s="17" t="str">
        <f ca="1"/>
        <v/>
      </c>
      <c r="S190" t="str">
        <f ca="1"/>
        <v/>
      </c>
      <c r="T190" s="20" t="str">
        <v/>
      </c>
    </row>
    <row r="191" spans="1:20" ht="12.75">
      <c r="A191" s="11" t="str">
        <v>UPDATE DETAILS</v>
      </c>
      <c r="B191" s="11" t="str">
        <v>SET SCHEDULE</v>
      </c>
      <c r="F191" s="17" t="s">
        <v>445</v>
      </c>
      <c r="G191" t="str">
        <v xml:space="preserve">Purohit, Rajveer - </v>
      </c>
      <c r="H191" t="s">
        <v>445</v>
      </c>
      <c r="J191" s="17" t="s">
        <v>553</v>
      </c>
      <c r="K191" s="19" t="s">
        <v>446</v>
      </c>
      <c r="L191" s="17" t="s">
        <v>62</v>
      </c>
      <c r="M191" s="17" t="str">
        <f ca="1"/>
        <v>UNKNOWN</v>
      </c>
      <c r="N191" s="17" t="s">
        <v>15</v>
      </c>
      <c r="O191" s="13" t="str">
        <f ca="1"/>
        <v/>
      </c>
      <c r="P191" s="13" t="str">
        <f ca="1"/>
        <v/>
      </c>
      <c r="Q191" s="13" t="str">
        <f ca="1"/>
        <v/>
      </c>
      <c r="R191" s="17" t="str">
        <f ca="1"/>
        <v/>
      </c>
      <c r="S191" t="str">
        <f ca="1"/>
        <v/>
      </c>
      <c r="T191" s="20" t="str">
        <v/>
      </c>
    </row>
    <row r="192" spans="1:20" ht="12.75">
      <c r="A192" s="11" t="str">
        <v>UPDATE DETAILS</v>
      </c>
      <c r="B192" s="11" t="str">
        <v>SET SCHEDULE</v>
      </c>
      <c r="F192" s="17" t="s">
        <v>68</v>
      </c>
      <c r="G192" t="str">
        <v xml:space="preserve">Ramos, Elizabeth - </v>
      </c>
      <c r="H192" t="s">
        <v>68</v>
      </c>
      <c r="J192" s="17" t="s">
        <v>15</v>
      </c>
      <c r="K192" s="19" t="s">
        <v>69</v>
      </c>
      <c r="L192" s="17" t="s">
        <v>13</v>
      </c>
      <c r="M192" s="17" t="str">
        <f ca="1"/>
        <v>UNKNOWN</v>
      </c>
      <c r="N192" s="17" t="s">
        <v>15</v>
      </c>
      <c r="O192" s="13" t="str">
        <f ca="1"/>
        <v/>
      </c>
      <c r="P192" s="13" t="str">
        <f ca="1"/>
        <v/>
      </c>
      <c r="Q192" s="13" t="str">
        <f ca="1"/>
        <v/>
      </c>
      <c r="R192" s="17" t="str">
        <f ca="1"/>
        <v/>
      </c>
      <c r="S192" t="str">
        <f ca="1"/>
        <v/>
      </c>
      <c r="T192" s="20" t="str">
        <v/>
      </c>
    </row>
    <row r="193" spans="1:20" ht="12.75">
      <c r="A193" s="11" t="str">
        <v>UPDATE DETAILS</v>
      </c>
      <c r="B193" s="11" t="str">
        <v>SET SCHEDULE</v>
      </c>
      <c r="F193" s="17" t="s">
        <v>447</v>
      </c>
      <c r="G193" t="str">
        <v xml:space="preserve">Rapoport, Samuel - </v>
      </c>
      <c r="H193" t="s">
        <v>447</v>
      </c>
      <c r="J193" s="17" t="s">
        <v>15</v>
      </c>
      <c r="K193" s="19" t="s">
        <v>448</v>
      </c>
      <c r="L193" s="17" t="s">
        <v>62</v>
      </c>
      <c r="M193" s="17" t="str">
        <f ca="1"/>
        <v>UNKNOWN</v>
      </c>
      <c r="N193" s="17" t="s">
        <v>15</v>
      </c>
      <c r="O193" s="13" t="str">
        <f ca="1"/>
        <v/>
      </c>
      <c r="P193" s="13" t="str">
        <f ca="1"/>
        <v/>
      </c>
      <c r="Q193" s="13" t="str">
        <f ca="1"/>
        <v/>
      </c>
      <c r="R193" s="17" t="str">
        <f ca="1"/>
        <v/>
      </c>
      <c r="S193" t="str">
        <f ca="1"/>
        <v/>
      </c>
      <c r="T193" s="20" t="str">
        <v/>
      </c>
    </row>
    <row r="194" spans="1:20" ht="12.75">
      <c r="A194" s="11" t="str">
        <v>UPDATE DETAILS</v>
      </c>
      <c r="B194" s="11" t="str">
        <v>SET SCHEDULE</v>
      </c>
      <c r="F194" s="17" t="s">
        <v>449</v>
      </c>
      <c r="G194" t="str">
        <v xml:space="preserve">Reed, Lawrence  - </v>
      </c>
      <c r="H194" t="s">
        <v>449</v>
      </c>
      <c r="J194" s="17" t="s">
        <v>15</v>
      </c>
      <c r="K194" s="19" t="s">
        <v>450</v>
      </c>
      <c r="L194" s="17" t="s">
        <v>62</v>
      </c>
      <c r="M194" s="17" t="str">
        <f ca="1"/>
        <v>UNKNOWN</v>
      </c>
      <c r="N194" s="17" t="s">
        <v>15</v>
      </c>
      <c r="O194" s="13" t="str">
        <f ca="1"/>
        <v/>
      </c>
      <c r="P194" s="13" t="str">
        <f ca="1"/>
        <v/>
      </c>
      <c r="Q194" s="13" t="str">
        <f ca="1"/>
        <v/>
      </c>
      <c r="R194" s="17" t="str">
        <f ca="1"/>
        <v/>
      </c>
      <c r="S194" t="str">
        <f ca="1"/>
        <v/>
      </c>
      <c r="T194" s="20" t="str">
        <v/>
      </c>
    </row>
    <row r="195" spans="1:20" ht="12.75">
      <c r="A195" s="11" t="str">
        <v>UPDATE DETAILS</v>
      </c>
      <c r="B195" s="11" t="str">
        <v>SET SCHEDULE</v>
      </c>
      <c r="F195" s="17" t="s">
        <v>280</v>
      </c>
      <c r="G195" t="str">
        <v xml:space="preserve">Reichman, Bonnie  - </v>
      </c>
      <c r="H195" t="s">
        <v>280</v>
      </c>
      <c r="J195" s="17" t="s">
        <v>15</v>
      </c>
      <c r="K195" s="19" t="s">
        <v>281</v>
      </c>
      <c r="L195" s="17" t="s">
        <v>61</v>
      </c>
      <c r="M195" s="17" t="str">
        <f ca="1"/>
        <v>UNKNOWN</v>
      </c>
      <c r="N195" s="17" t="s">
        <v>15</v>
      </c>
      <c r="O195" s="13" t="str">
        <f ca="1"/>
        <v/>
      </c>
      <c r="P195" s="13" t="str">
        <f ca="1"/>
        <v/>
      </c>
      <c r="Q195" s="13" t="str">
        <f ca="1"/>
        <v/>
      </c>
      <c r="R195" s="17" t="str">
        <f ca="1"/>
        <v/>
      </c>
      <c r="S195" t="str">
        <f ca="1"/>
        <v/>
      </c>
      <c r="T195" s="20" t="str">
        <v/>
      </c>
    </row>
    <row r="196" spans="1:20" ht="12.75">
      <c r="A196" s="11" t="str">
        <v>UPDATE DETAILS</v>
      </c>
      <c r="B196" s="11" t="str">
        <v>SET SCHEDULE</v>
      </c>
      <c r="F196" s="17" t="s">
        <v>451</v>
      </c>
      <c r="G196" t="str">
        <v xml:space="preserve">Rochwarger, Arnold / Goldin, Howard - </v>
      </c>
      <c r="H196" t="s">
        <v>451</v>
      </c>
      <c r="J196" s="17" t="s">
        <v>15</v>
      </c>
      <c r="K196" s="19" t="s">
        <v>452</v>
      </c>
      <c r="L196" s="17" t="s">
        <v>62</v>
      </c>
      <c r="M196" s="17" t="str">
        <f ca="1"/>
        <v>UNKNOWN</v>
      </c>
      <c r="N196" s="17" t="s">
        <v>15</v>
      </c>
      <c r="O196" s="13" t="str">
        <f ca="1"/>
        <v/>
      </c>
      <c r="P196" s="13" t="str">
        <f ca="1"/>
        <v/>
      </c>
      <c r="Q196" s="13" t="str">
        <f ca="1"/>
        <v/>
      </c>
      <c r="R196" s="17" t="str">
        <f ca="1"/>
        <v/>
      </c>
      <c r="S196" t="str">
        <f ca="1"/>
        <v/>
      </c>
      <c r="T196" s="20" t="str">
        <v/>
      </c>
    </row>
    <row r="197" spans="1:20" ht="12.75">
      <c r="A197" s="11" t="str">
        <v>UPDATE DETAILS</v>
      </c>
      <c r="B197" s="11" t="str">
        <v>SET SCHEDULE</v>
      </c>
      <c r="F197" s="17" t="s">
        <v>453</v>
      </c>
      <c r="G197" t="str">
        <v xml:space="preserve">Rosenberg, Howard - </v>
      </c>
      <c r="H197" t="s">
        <v>453</v>
      </c>
      <c r="J197" s="17" t="s">
        <v>15</v>
      </c>
      <c r="K197" s="19" t="s">
        <v>454</v>
      </c>
      <c r="L197" s="17" t="s">
        <v>62</v>
      </c>
      <c r="M197" s="17" t="str">
        <f ca="1"/>
        <v>UNKNOWN</v>
      </c>
      <c r="N197" s="17" t="s">
        <v>15</v>
      </c>
      <c r="O197" s="13" t="str">
        <f ca="1"/>
        <v/>
      </c>
      <c r="P197" s="13" t="str">
        <f ca="1"/>
        <v/>
      </c>
      <c r="Q197" s="13" t="str">
        <f ca="1"/>
        <v/>
      </c>
      <c r="R197" s="17" t="str">
        <f ca="1"/>
        <v/>
      </c>
      <c r="S197" t="str">
        <f ca="1"/>
        <v/>
      </c>
      <c r="T197" s="20" t="str">
        <v/>
      </c>
    </row>
    <row r="198" spans="1:20" ht="12.75">
      <c r="A198" s="11" t="str">
        <v>UPDATE DETAILS</v>
      </c>
      <c r="B198" s="11" t="str">
        <v>SET SCHEDULE</v>
      </c>
      <c r="F198" s="17" t="s">
        <v>455</v>
      </c>
      <c r="G198" t="str">
        <v xml:space="preserve">Sadick, Neil - </v>
      </c>
      <c r="H198" t="s">
        <v>455</v>
      </c>
      <c r="J198" s="17" t="s">
        <v>15</v>
      </c>
      <c r="K198" s="19" t="s">
        <v>456</v>
      </c>
      <c r="L198" s="17" t="s">
        <v>62</v>
      </c>
      <c r="M198" s="17" t="str">
        <f ca="1"/>
        <v>UNKNOWN</v>
      </c>
      <c r="N198" s="17" t="s">
        <v>15</v>
      </c>
      <c r="O198" s="13" t="str">
        <f ca="1"/>
        <v/>
      </c>
      <c r="P198" s="13" t="str">
        <f ca="1"/>
        <v/>
      </c>
      <c r="Q198" s="13" t="str">
        <f ca="1"/>
        <v/>
      </c>
      <c r="R198" s="17" t="str">
        <f ca="1"/>
        <v/>
      </c>
      <c r="S198" t="str">
        <f ca="1"/>
        <v/>
      </c>
      <c r="T198" s="20" t="str">
        <v/>
      </c>
    </row>
    <row r="199" spans="1:20" ht="12.75">
      <c r="A199" s="11" t="str">
        <v>UPDATE DETAILS</v>
      </c>
      <c r="B199" s="11" t="str">
        <v>SET SCHEDULE</v>
      </c>
      <c r="F199" s="17" t="s">
        <v>86</v>
      </c>
      <c r="G199" t="str">
        <v xml:space="preserve">Salob, Stacey / Green, Michelle - </v>
      </c>
      <c r="H199" t="s">
        <v>86</v>
      </c>
      <c r="J199" s="17" t="s">
        <v>15</v>
      </c>
      <c r="K199" s="19" t="s">
        <v>88</v>
      </c>
      <c r="L199" s="17" t="s">
        <v>50</v>
      </c>
      <c r="M199" s="17" t="str">
        <f ca="1"/>
        <v>UNKNOWN</v>
      </c>
      <c r="N199" s="17" t="s">
        <v>15</v>
      </c>
      <c r="O199" s="13" t="str">
        <f ca="1"/>
        <v/>
      </c>
      <c r="P199" s="13" t="str">
        <f ca="1"/>
        <v/>
      </c>
      <c r="Q199" s="13" t="str">
        <f ca="1"/>
        <v/>
      </c>
      <c r="R199" s="17" t="str">
        <f ca="1"/>
        <v/>
      </c>
      <c r="S199" s="17" t="str">
        <f ca="1"/>
        <v/>
      </c>
      <c r="T199" s="20" t="str">
        <v/>
      </c>
    </row>
    <row r="200" spans="1:20" ht="12.75">
      <c r="A200" s="11" t="str">
        <v>UPDATE DETAILS</v>
      </c>
      <c r="B200" s="11" t="str">
        <v>SET SCHEDULE</v>
      </c>
      <c r="F200" s="17" t="s">
        <v>282</v>
      </c>
      <c r="G200" t="str">
        <v xml:space="preserve">Sassoon, Robert  - </v>
      </c>
      <c r="H200" t="s">
        <v>282</v>
      </c>
      <c r="J200" s="17" t="s">
        <v>15</v>
      </c>
      <c r="K200" s="19" t="s">
        <v>283</v>
      </c>
      <c r="L200" s="17" t="s">
        <v>61</v>
      </c>
      <c r="M200" s="17" t="str">
        <f ca="1"/>
        <v>UNKNOWN</v>
      </c>
      <c r="N200" s="17" t="s">
        <v>15</v>
      </c>
      <c r="O200" s="13" t="str">
        <f ca="1"/>
        <v/>
      </c>
      <c r="P200" s="13" t="str">
        <f ca="1"/>
        <v/>
      </c>
      <c r="Q200" s="13" t="str">
        <f ca="1"/>
        <v/>
      </c>
      <c r="R200" s="17" t="str">
        <f ca="1"/>
        <v/>
      </c>
      <c r="S200" t="str">
        <f ca="1"/>
        <v/>
      </c>
      <c r="T200" s="20" t="str">
        <v/>
      </c>
    </row>
    <row r="201" spans="1:20" ht="12.75">
      <c r="A201" s="11" t="str">
        <v>UPDATE DETAILS</v>
      </c>
      <c r="B201" s="11" t="str">
        <v>SET SCHEDULE</v>
      </c>
      <c r="F201" s="17" t="s">
        <v>284</v>
      </c>
      <c r="G201" t="str">
        <v xml:space="preserve">Schulman, Aaron - </v>
      </c>
      <c r="H201" t="s">
        <v>284</v>
      </c>
      <c r="J201" s="17" t="s">
        <v>15</v>
      </c>
      <c r="K201" s="19" t="s">
        <v>206</v>
      </c>
      <c r="L201" s="17" t="s">
        <v>61</v>
      </c>
      <c r="M201" s="17" t="str">
        <f ca="1"/>
        <v>UNKNOWN</v>
      </c>
      <c r="N201" s="17" t="s">
        <v>15</v>
      </c>
      <c r="O201" s="13" t="str">
        <f ca="1"/>
        <v/>
      </c>
      <c r="P201" s="13" t="str">
        <f ca="1"/>
        <v/>
      </c>
      <c r="Q201" s="13" t="str">
        <f ca="1"/>
        <v/>
      </c>
      <c r="R201" s="17" t="str">
        <f ca="1"/>
        <v/>
      </c>
      <c r="S201" t="str">
        <f ca="1"/>
        <v/>
      </c>
      <c r="T201" s="20" t="str">
        <v/>
      </c>
    </row>
    <row r="202" spans="1:20" ht="12.75">
      <c r="A202" s="11" t="str">
        <v>UPDATE DETAILS</v>
      </c>
      <c r="B202" s="11" t="str">
        <v>SET SCHEDULE</v>
      </c>
      <c r="F202" s="17" t="s">
        <v>457</v>
      </c>
      <c r="G202" t="str">
        <v xml:space="preserve">Scrimminger, Leon  - </v>
      </c>
      <c r="H202" t="s">
        <v>457</v>
      </c>
      <c r="J202" s="17" t="s">
        <v>15</v>
      </c>
      <c r="K202" s="19" t="s">
        <v>458</v>
      </c>
      <c r="L202" s="17" t="s">
        <v>62</v>
      </c>
      <c r="M202" s="17" t="str">
        <f ca="1"/>
        <v>UNKNOWN</v>
      </c>
      <c r="N202" s="17" t="s">
        <v>15</v>
      </c>
      <c r="O202" s="13" t="str">
        <f ca="1"/>
        <v/>
      </c>
      <c r="P202" s="13" t="str">
        <f ca="1"/>
        <v/>
      </c>
      <c r="Q202" s="13" t="str">
        <f ca="1"/>
        <v/>
      </c>
      <c r="R202" s="17" t="str">
        <f ca="1"/>
        <v/>
      </c>
      <c r="S202" t="str">
        <f ca="1"/>
        <v/>
      </c>
      <c r="T202" s="20" t="str">
        <v/>
      </c>
    </row>
    <row r="203" spans="1:20" ht="12.75">
      <c r="A203" s="11" t="str">
        <v>UPDATE DETAILS</v>
      </c>
      <c r="B203" s="11" t="str">
        <v>SET SCHEDULE</v>
      </c>
      <c r="F203" s="17" t="s">
        <v>293</v>
      </c>
      <c r="G203" t="str">
        <v xml:space="preserve">Shaktman, Barry  - </v>
      </c>
      <c r="H203" t="s">
        <v>293</v>
      </c>
      <c r="J203" s="17" t="s">
        <v>15</v>
      </c>
      <c r="K203" s="19" t="s">
        <v>294</v>
      </c>
      <c r="L203" s="17" t="s">
        <v>47</v>
      </c>
      <c r="M203" s="17" t="str">
        <f ca="1"/>
        <v>UNKNOWN</v>
      </c>
      <c r="N203" s="17" t="s">
        <v>15</v>
      </c>
      <c r="O203" s="13" t="str">
        <f ca="1"/>
        <v/>
      </c>
      <c r="P203" s="13" t="str">
        <f ca="1"/>
        <v/>
      </c>
      <c r="Q203" s="13" t="str">
        <f ca="1"/>
        <v/>
      </c>
      <c r="R203" s="17" t="str">
        <f ca="1"/>
        <v/>
      </c>
      <c r="S203" t="str">
        <f ca="1"/>
        <v/>
      </c>
      <c r="T203" s="20" t="str">
        <v/>
      </c>
    </row>
    <row r="204" spans="1:20" ht="12.75">
      <c r="A204" s="11" t="str">
        <v>UPDATE DETAILS</v>
      </c>
      <c r="B204" s="11" t="str">
        <v>SET SCHEDULE</v>
      </c>
      <c r="F204" s="17" t="s">
        <v>182</v>
      </c>
      <c r="G204" t="str">
        <v xml:space="preserve">Shemtov, Mendel - </v>
      </c>
      <c r="H204" t="s">
        <v>182</v>
      </c>
      <c r="J204" s="17" t="s">
        <v>15</v>
      </c>
      <c r="K204" s="19" t="s">
        <v>183</v>
      </c>
      <c r="L204" s="17" t="s">
        <v>57</v>
      </c>
      <c r="M204" s="17" t="str">
        <f ca="1"/>
        <v>UNKNOWN</v>
      </c>
      <c r="N204" s="17" t="s">
        <v>15</v>
      </c>
      <c r="O204" s="13" t="str">
        <f ca="1"/>
        <v/>
      </c>
      <c r="P204" s="13" t="str">
        <f ca="1"/>
        <v/>
      </c>
      <c r="Q204" s="13" t="str">
        <f ca="1"/>
        <v/>
      </c>
      <c r="R204" s="17" t="str">
        <f ca="1"/>
        <v/>
      </c>
      <c r="S204" t="str">
        <f ca="1"/>
        <v/>
      </c>
      <c r="T204" s="20" t="str">
        <v/>
      </c>
    </row>
    <row r="205" spans="1:20" ht="12.75">
      <c r="A205" s="11" t="str">
        <v>UPDATE DETAILS</v>
      </c>
      <c r="B205" s="11" t="str">
        <v>SET SCHEDULE</v>
      </c>
      <c r="F205" s="17" t="s">
        <v>324</v>
      </c>
      <c r="G205" t="str">
        <v xml:space="preserve">Sherman, Raymond / Hartman, Barry - </v>
      </c>
      <c r="H205" t="s">
        <v>324</v>
      </c>
      <c r="J205" s="17" t="s">
        <v>15</v>
      </c>
      <c r="K205" s="19" t="s">
        <v>325</v>
      </c>
      <c r="L205" s="17" t="s">
        <v>53</v>
      </c>
      <c r="M205" s="17" t="str">
        <f ca="1"/>
        <v>UNKNOWN</v>
      </c>
      <c r="N205" s="17" t="s">
        <v>15</v>
      </c>
      <c r="O205" s="13" t="str">
        <f ca="1"/>
        <v/>
      </c>
      <c r="P205" s="13" t="str">
        <f ca="1"/>
        <v/>
      </c>
      <c r="Q205" s="13" t="str">
        <f ca="1"/>
        <v/>
      </c>
      <c r="R205" s="17" t="str">
        <f ca="1"/>
        <v/>
      </c>
      <c r="S205" t="str">
        <f ca="1"/>
        <v/>
      </c>
      <c r="T205" s="20" t="str">
        <v/>
      </c>
    </row>
    <row r="206" spans="1:20" ht="12.75">
      <c r="A206" s="11" t="str">
        <v>UPDATE DETAILS</v>
      </c>
      <c r="B206" s="11" t="str">
        <v>SET SCHEDULE</v>
      </c>
      <c r="F206" s="17" t="s">
        <v>459</v>
      </c>
      <c r="G206" t="str">
        <v xml:space="preserve">Simon, Jean-Paul - </v>
      </c>
      <c r="H206" t="s">
        <v>459</v>
      </c>
      <c r="J206" s="17" t="s">
        <v>15</v>
      </c>
      <c r="K206" s="19" t="s">
        <v>460</v>
      </c>
      <c r="L206" s="17" t="s">
        <v>62</v>
      </c>
      <c r="M206" s="17" t="str">
        <f ca="1"/>
        <v>UNKNOWN</v>
      </c>
      <c r="N206" s="17" t="s">
        <v>15</v>
      </c>
      <c r="O206" s="13" t="str">
        <f ca="1"/>
        <v/>
      </c>
      <c r="P206" s="13" t="str">
        <f ca="1"/>
        <v/>
      </c>
      <c r="Q206" s="13" t="str">
        <f ca="1"/>
        <v/>
      </c>
      <c r="R206" s="17" t="str">
        <f ca="1"/>
        <v/>
      </c>
      <c r="S206" t="str">
        <f ca="1"/>
        <v/>
      </c>
      <c r="T206" s="20" t="str">
        <v/>
      </c>
    </row>
    <row r="207" spans="1:20" ht="12.75">
      <c r="A207" s="11" t="str">
        <v>UPDATE DETAILS</v>
      </c>
      <c r="B207" s="11" t="str">
        <v>SET SCHEDULE</v>
      </c>
      <c r="F207" s="17" t="s">
        <v>90</v>
      </c>
      <c r="G207" t="str">
        <v xml:space="preserve">Smith, Barry / RENCA ACCOUNT - </v>
      </c>
      <c r="H207" t="s">
        <v>90</v>
      </c>
      <c r="J207" s="17" t="s">
        <v>15</v>
      </c>
      <c r="K207" s="19" t="s">
        <v>91</v>
      </c>
      <c r="L207" s="17" t="s">
        <v>50</v>
      </c>
      <c r="M207" s="17" t="str">
        <f ca="1"/>
        <v>UNKNOWN</v>
      </c>
      <c r="N207" s="17" t="s">
        <v>15</v>
      </c>
      <c r="O207" s="13" t="str">
        <f ca="1"/>
        <v/>
      </c>
      <c r="P207" s="13" t="str">
        <f ca="1"/>
        <v/>
      </c>
      <c r="Q207" s="13" t="str">
        <f ca="1"/>
        <v/>
      </c>
      <c r="R207" s="17" t="str">
        <f ca="1"/>
        <v/>
      </c>
      <c r="S207" s="17" t="str">
        <f ca="1"/>
        <v/>
      </c>
      <c r="T207" s="20" t="str">
        <v/>
      </c>
    </row>
    <row r="208" spans="1:20" ht="12.75">
      <c r="A208" s="11" t="str">
        <v>UPDATE DETAILS</v>
      </c>
      <c r="B208" s="11" t="str">
        <v>SET SCHEDULE</v>
      </c>
      <c r="F208" s="17" t="s">
        <v>326</v>
      </c>
      <c r="G208" t="str">
        <v xml:space="preserve">Smith, Paul T - </v>
      </c>
      <c r="H208" t="s">
        <v>326</v>
      </c>
      <c r="J208" s="17" t="s">
        <v>15</v>
      </c>
      <c r="K208" s="19" t="s">
        <v>327</v>
      </c>
      <c r="L208" s="17" t="s">
        <v>53</v>
      </c>
      <c r="M208" s="17" t="str">
        <f ca="1"/>
        <v>UNKNOWN</v>
      </c>
      <c r="N208" s="17" t="s">
        <v>15</v>
      </c>
      <c r="O208" s="13" t="str">
        <f ca="1"/>
        <v/>
      </c>
      <c r="P208" s="13" t="str">
        <f ca="1"/>
        <v/>
      </c>
      <c r="Q208" s="13" t="str">
        <f ca="1"/>
        <v/>
      </c>
      <c r="R208" s="17" t="str">
        <f ca="1"/>
        <v/>
      </c>
      <c r="S208" t="str">
        <f ca="1"/>
        <v/>
      </c>
      <c r="T208" s="20" t="str">
        <v/>
      </c>
    </row>
    <row r="209" spans="1:20" ht="12.75">
      <c r="A209" s="11" t="str">
        <v>UPDATE DETAILS</v>
      </c>
      <c r="B209" s="11" t="str">
        <v>SET SCHEDULE</v>
      </c>
      <c r="F209" s="17" t="s">
        <v>221</v>
      </c>
      <c r="G209" t="str">
        <v xml:space="preserve">Sorbellini, Maximiliano - </v>
      </c>
      <c r="H209" t="s">
        <v>221</v>
      </c>
      <c r="J209" s="17" t="s">
        <v>15</v>
      </c>
      <c r="K209" s="19" t="s">
        <v>222</v>
      </c>
      <c r="L209" s="17" t="s">
        <v>59</v>
      </c>
      <c r="M209" s="17" t="str">
        <f ca="1"/>
        <v>UNKNOWN</v>
      </c>
      <c r="N209" s="17" t="s">
        <v>15</v>
      </c>
      <c r="O209" s="13" t="str">
        <f ca="1"/>
        <v/>
      </c>
      <c r="P209" s="13" t="str">
        <f ca="1"/>
        <v/>
      </c>
      <c r="Q209" s="13" t="str">
        <f ca="1"/>
        <v/>
      </c>
      <c r="R209" s="17" t="str">
        <f ca="1"/>
        <v/>
      </c>
      <c r="S209" t="str">
        <f ca="1"/>
        <v/>
      </c>
      <c r="T209" s="20" t="str">
        <v/>
      </c>
    </row>
    <row r="210" spans="1:20" ht="12.75">
      <c r="A210" s="11" t="str">
        <v>UPDATE DETAILS</v>
      </c>
      <c r="B210" s="11" t="str">
        <v>SET SCHEDULE</v>
      </c>
      <c r="F210" s="17" t="s">
        <v>461</v>
      </c>
      <c r="G210" t="str">
        <v xml:space="preserve">Sotelo, Julio E - </v>
      </c>
      <c r="H210" t="s">
        <v>461</v>
      </c>
      <c r="J210" s="17" t="s">
        <v>553</v>
      </c>
      <c r="K210" s="19" t="s">
        <v>462</v>
      </c>
      <c r="L210" s="17" t="s">
        <v>62</v>
      </c>
      <c r="M210" s="17" t="str">
        <f ca="1"/>
        <v>UNKNOWN</v>
      </c>
      <c r="N210" s="17" t="s">
        <v>15</v>
      </c>
      <c r="O210" s="13" t="str">
        <f ca="1"/>
        <v/>
      </c>
      <c r="P210" s="13" t="str">
        <f ca="1"/>
        <v/>
      </c>
      <c r="Q210" s="13" t="str">
        <f ca="1"/>
        <v/>
      </c>
      <c r="R210" s="17" t="str">
        <f ca="1"/>
        <v/>
      </c>
      <c r="S210" t="str">
        <f ca="1"/>
        <v/>
      </c>
      <c r="T210" s="20" t="str">
        <v/>
      </c>
    </row>
    <row r="211" spans="1:20" ht="12.75">
      <c r="A211" s="11" t="str">
        <v>UPDATE DETAILS</v>
      </c>
      <c r="B211" s="11" t="str">
        <v>SET SCHEDULE</v>
      </c>
      <c r="F211" s="17" t="s">
        <v>463</v>
      </c>
      <c r="G211" t="str">
        <v xml:space="preserve">Steigman, Shaun / Merianos, Demetri - </v>
      </c>
      <c r="H211" t="s">
        <v>463</v>
      </c>
      <c r="J211" s="17" t="s">
        <v>15</v>
      </c>
      <c r="K211" s="19" t="s">
        <v>464</v>
      </c>
      <c r="L211" s="17" t="s">
        <v>62</v>
      </c>
      <c r="M211" s="17" t="str">
        <f ca="1"/>
        <v>UNKNOWN</v>
      </c>
      <c r="N211" s="17" t="s">
        <v>15</v>
      </c>
      <c r="O211" s="13" t="str">
        <f ca="1"/>
        <v/>
      </c>
      <c r="P211" s="13" t="str">
        <f ca="1"/>
        <v/>
      </c>
      <c r="Q211" s="13" t="str">
        <f ca="1"/>
        <v/>
      </c>
      <c r="R211" s="17" t="str">
        <f ca="1"/>
        <v/>
      </c>
      <c r="S211" t="str">
        <f ca="1"/>
        <v/>
      </c>
      <c r="T211" s="20" t="str">
        <v/>
      </c>
    </row>
    <row r="212" spans="1:20" ht="12.75">
      <c r="A212" s="11" t="str">
        <v>UPDATE DETAILS</v>
      </c>
      <c r="B212" s="11" t="str">
        <v>SET SCHEDULE</v>
      </c>
      <c r="C212" s="17" t="s">
        <v>465</v>
      </c>
      <c r="G212" t="str">
        <v xml:space="preserve">STUDENT HEALTH - </v>
      </c>
      <c r="H212" t="s">
        <v>465</v>
      </c>
      <c r="J212" s="17" t="s">
        <v>15</v>
      </c>
      <c r="K212" s="19" t="s">
        <v>466</v>
      </c>
      <c r="L212" s="17" t="s">
        <v>62</v>
      </c>
      <c r="M212" s="17" t="str">
        <f ca="1"/>
        <v>UNKNOWN</v>
      </c>
      <c r="N212" s="17" t="s">
        <v>15</v>
      </c>
      <c r="O212" s="13" t="str">
        <f ca="1"/>
        <v/>
      </c>
      <c r="P212" s="13" t="str">
        <f ca="1"/>
        <v/>
      </c>
      <c r="Q212" s="13" t="str">
        <f ca="1"/>
        <v/>
      </c>
      <c r="R212" s="17" t="str">
        <f ca="1"/>
        <v/>
      </c>
      <c r="S212" t="str">
        <f ca="1"/>
        <v/>
      </c>
      <c r="T212" s="20" t="str">
        <v/>
      </c>
    </row>
    <row r="213" spans="1:20" ht="12.75">
      <c r="A213" s="11" t="str">
        <v>UPDATE DETAILS</v>
      </c>
      <c r="B213" s="11" t="str">
        <v>SET SCHEDULE</v>
      </c>
      <c r="F213" s="17" t="s">
        <v>140</v>
      </c>
      <c r="G213" t="str">
        <v xml:space="preserve">Tahir, Muhammad - </v>
      </c>
      <c r="H213" t="s">
        <v>140</v>
      </c>
      <c r="J213" s="17" t="s">
        <v>15</v>
      </c>
      <c r="K213" s="19" t="s">
        <v>141</v>
      </c>
      <c r="L213" s="17" t="s">
        <v>60</v>
      </c>
      <c r="M213" s="17" t="str">
        <f ca="1"/>
        <v>UNKNOWN</v>
      </c>
      <c r="N213" s="17" t="s">
        <v>15</v>
      </c>
      <c r="O213" s="13" t="str">
        <f ca="1"/>
        <v/>
      </c>
      <c r="P213" s="13" t="str">
        <f ca="1"/>
        <v/>
      </c>
      <c r="Q213" s="13" t="str">
        <f ca="1"/>
        <v/>
      </c>
      <c r="R213" s="17" t="str">
        <f ca="1"/>
        <v/>
      </c>
      <c r="S213" t="str">
        <f ca="1"/>
        <v/>
      </c>
      <c r="T213" s="20" t="str">
        <v/>
      </c>
    </row>
    <row r="214" spans="1:20" ht="12.75">
      <c r="A214" s="11" t="str">
        <v>UPDATE DETAILS</v>
      </c>
      <c r="B214" s="11" t="str">
        <v>SET SCHEDULE</v>
      </c>
      <c r="F214" s="17" t="s">
        <v>467</v>
      </c>
      <c r="G214" t="str">
        <v xml:space="preserve">Tsai, Tony - </v>
      </c>
      <c r="H214" t="s">
        <v>467</v>
      </c>
      <c r="J214" s="17" t="s">
        <v>15</v>
      </c>
      <c r="K214" s="19" t="s">
        <v>468</v>
      </c>
      <c r="L214" s="17" t="s">
        <v>62</v>
      </c>
      <c r="M214" s="17" t="str">
        <f ca="1"/>
        <v>UNKNOWN</v>
      </c>
      <c r="N214" s="17" t="s">
        <v>15</v>
      </c>
      <c r="O214" s="13" t="str">
        <f ca="1"/>
        <v/>
      </c>
      <c r="P214" s="13" t="str">
        <f ca="1"/>
        <v/>
      </c>
      <c r="Q214" s="13" t="str">
        <f ca="1"/>
        <v/>
      </c>
      <c r="R214" s="17" t="str">
        <f ca="1"/>
        <v/>
      </c>
      <c r="S214" t="str">
        <f ca="1"/>
        <v/>
      </c>
      <c r="T214" s="20" t="str">
        <v/>
      </c>
    </row>
    <row r="215" spans="1:20" ht="12.75">
      <c r="A215" s="11" t="str">
        <v>UPDATE DETAILS</v>
      </c>
      <c r="B215" s="11" t="str">
        <v>SET SCHEDULE</v>
      </c>
      <c r="C215" s="17" t="s">
        <v>469</v>
      </c>
      <c r="G215" t="str">
        <v xml:space="preserve">UROLOGY - ST - 9 - </v>
      </c>
      <c r="H215" t="s">
        <v>469</v>
      </c>
      <c r="J215" s="17" t="s">
        <v>15</v>
      </c>
      <c r="K215" s="19" t="s">
        <v>470</v>
      </c>
      <c r="L215" s="17" t="s">
        <v>62</v>
      </c>
      <c r="M215" s="17" t="str">
        <f ca="1"/>
        <v>UNKNOWN</v>
      </c>
      <c r="N215" s="17" t="s">
        <v>15</v>
      </c>
      <c r="O215" s="13" t="str">
        <f ca="1"/>
        <v/>
      </c>
      <c r="P215" s="13" t="str">
        <f ca="1"/>
        <v/>
      </c>
      <c r="Q215" s="13" t="str">
        <f ca="1"/>
        <v/>
      </c>
      <c r="R215" s="17" t="str">
        <f ca="1"/>
        <v/>
      </c>
      <c r="S215" t="str">
        <f ca="1"/>
        <v/>
      </c>
      <c r="T215" s="20" t="str">
        <v/>
      </c>
    </row>
    <row r="216" spans="1:20" ht="12.75">
      <c r="A216" s="11" t="str">
        <v>UPDATE DETAILS</v>
      </c>
      <c r="B216" s="11" t="str">
        <v>SET SCHEDULE</v>
      </c>
      <c r="F216" s="17" t="s">
        <v>328</v>
      </c>
      <c r="G216" t="str">
        <v xml:space="preserve">Vogiatzi, Maria  - </v>
      </c>
      <c r="H216" t="s">
        <v>328</v>
      </c>
      <c r="J216" s="17" t="s">
        <v>15</v>
      </c>
      <c r="K216" s="19" t="s">
        <v>329</v>
      </c>
      <c r="L216" s="17" t="s">
        <v>53</v>
      </c>
      <c r="M216" s="17" t="str">
        <f ca="1"/>
        <v>UNKNOWN</v>
      </c>
      <c r="N216" s="17" t="s">
        <v>15</v>
      </c>
      <c r="O216" s="13" t="str">
        <f ca="1"/>
        <v/>
      </c>
      <c r="P216" s="13" t="str">
        <f ca="1"/>
        <v/>
      </c>
      <c r="Q216" s="13" t="str">
        <f ca="1"/>
        <v/>
      </c>
      <c r="R216" s="17" t="str">
        <f ca="1"/>
        <v/>
      </c>
      <c r="S216" t="str">
        <f ca="1"/>
        <v/>
      </c>
      <c r="T216" s="20" t="str">
        <v/>
      </c>
    </row>
    <row r="217" spans="1:20" ht="12.75">
      <c r="A217" s="11" t="str">
        <v>UPDATE DETAILS</v>
      </c>
      <c r="B217" s="11" t="str">
        <v>SET SCHEDULE</v>
      </c>
      <c r="F217" s="17" t="s">
        <v>247</v>
      </c>
      <c r="G217" t="str">
        <v xml:space="preserve">Warschauer, Craig - </v>
      </c>
      <c r="H217" t="s">
        <v>247</v>
      </c>
      <c r="J217" s="17" t="s">
        <v>15</v>
      </c>
      <c r="K217" s="19" t="s">
        <v>248</v>
      </c>
      <c r="L217" s="17" t="s">
        <v>45</v>
      </c>
      <c r="M217" s="17" t="str">
        <f ca="1"/>
        <v>UNKNOWN</v>
      </c>
      <c r="N217" s="17" t="s">
        <v>15</v>
      </c>
      <c r="O217" s="13" t="str">
        <f ca="1"/>
        <v/>
      </c>
      <c r="P217" s="13" t="str">
        <f ca="1"/>
        <v/>
      </c>
      <c r="Q217" s="13" t="str">
        <f ca="1"/>
        <v/>
      </c>
      <c r="R217" s="17" t="str">
        <f ca="1"/>
        <v/>
      </c>
      <c r="S217" t="str">
        <f ca="1"/>
        <v/>
      </c>
      <c r="T217" s="20" t="str">
        <v/>
      </c>
    </row>
    <row r="218" spans="1:20" ht="12.75">
      <c r="A218" s="11" t="str">
        <v>UPDATE DETAILS</v>
      </c>
      <c r="B218" s="11" t="str">
        <v>SET SCHEDULE</v>
      </c>
      <c r="C218" s="17" t="s">
        <v>617</v>
      </c>
      <c r="D218" s="17" t="s">
        <v>535</v>
      </c>
      <c r="E218" s="17" t="s">
        <v>618</v>
      </c>
      <c r="F218" s="17" t="s">
        <v>492</v>
      </c>
      <c r="G218" t="str">
        <v xml:space="preserve">WCMC - 211 E 80th St - Edocrinology - [OFFICE] - </v>
      </c>
      <c r="H218" t="s">
        <v>249</v>
      </c>
      <c r="J218" s="17" t="s">
        <v>15</v>
      </c>
      <c r="K218" s="19" t="s">
        <v>250</v>
      </c>
      <c r="L218" s="17" t="s">
        <v>45</v>
      </c>
      <c r="M218" s="17" t="str">
        <f ca="1"/>
        <v>UNKNOWN</v>
      </c>
      <c r="N218" s="17" t="s">
        <v>15</v>
      </c>
      <c r="O218" s="13" t="str">
        <f ca="1"/>
        <v/>
      </c>
      <c r="P218" s="13" t="str">
        <f ca="1"/>
        <v/>
      </c>
      <c r="Q218" s="13" t="str">
        <f ca="1"/>
        <v/>
      </c>
      <c r="R218" s="17" t="str">
        <f ca="1"/>
        <v/>
      </c>
      <c r="S218" t="str">
        <f ca="1"/>
        <v/>
      </c>
      <c r="T218" s="20" t="str">
        <v/>
      </c>
    </row>
    <row r="219" spans="1:20" ht="12.75">
      <c r="A219" s="11" t="str">
        <v>UPDATE DETAILS</v>
      </c>
      <c r="B219" s="11" t="str">
        <v>SET SCHEDULE</v>
      </c>
      <c r="C219" s="17" t="s">
        <v>617</v>
      </c>
      <c r="D219" s="17" t="s">
        <v>535</v>
      </c>
      <c r="E219" s="17" t="s">
        <v>618</v>
      </c>
      <c r="F219" s="17" t="s">
        <v>619</v>
      </c>
      <c r="G219" t="str">
        <v xml:space="preserve">WCMC - 211 E 80th St - Edocrinology - Brillon, David - </v>
      </c>
      <c r="H219" t="s">
        <v>251</v>
      </c>
      <c r="J219" s="17" t="s">
        <v>15</v>
      </c>
      <c r="K219" s="19" t="s">
        <v>250</v>
      </c>
      <c r="L219" s="17" t="s">
        <v>45</v>
      </c>
      <c r="M219" s="17" t="str">
        <f ca="1"/>
        <v>UNKNOWN</v>
      </c>
      <c r="N219" s="17" t="s">
        <v>15</v>
      </c>
      <c r="O219" s="13" t="str">
        <f ca="1"/>
        <v/>
      </c>
      <c r="P219" s="13" t="str">
        <f ca="1"/>
        <v/>
      </c>
      <c r="Q219" s="13" t="str">
        <f ca="1"/>
        <v/>
      </c>
      <c r="R219" s="17" t="str">
        <f ca="1"/>
        <v/>
      </c>
      <c r="S219" t="str">
        <f ca="1"/>
        <v/>
      </c>
      <c r="T219" s="20" t="str">
        <v/>
      </c>
    </row>
    <row r="220" spans="1:20" ht="12.75">
      <c r="A220" s="11" t="str">
        <v>UPDATE DETAILS</v>
      </c>
      <c r="B220" s="11" t="str">
        <v>SET SCHEDULE</v>
      </c>
      <c r="C220" s="17" t="s">
        <v>617</v>
      </c>
      <c r="D220" s="17" t="s">
        <v>535</v>
      </c>
      <c r="E220" s="17" t="s">
        <v>618</v>
      </c>
      <c r="F220" s="17" t="s">
        <v>620</v>
      </c>
      <c r="G220" t="str">
        <v xml:space="preserve">WCMC - 211 E 80th St - Edocrinology - DeJesus, Jenny - </v>
      </c>
      <c r="H220" t="s">
        <v>252</v>
      </c>
      <c r="J220" s="17" t="s">
        <v>15</v>
      </c>
      <c r="K220" s="19" t="s">
        <v>250</v>
      </c>
      <c r="L220" s="17" t="s">
        <v>45</v>
      </c>
      <c r="M220" s="17" t="str">
        <f ca="1"/>
        <v>UNKNOWN</v>
      </c>
      <c r="N220" s="17" t="s">
        <v>15</v>
      </c>
      <c r="O220" s="13" t="str">
        <f ca="1"/>
        <v/>
      </c>
      <c r="P220" s="13" t="str">
        <f ca="1"/>
        <v/>
      </c>
      <c r="Q220" s="13" t="str">
        <f ca="1"/>
        <v/>
      </c>
      <c r="R220" s="17" t="str">
        <f ca="1"/>
        <v/>
      </c>
      <c r="S220" t="str">
        <f ca="1"/>
        <v/>
      </c>
      <c r="T220" s="20" t="str">
        <v/>
      </c>
    </row>
    <row r="221" spans="1:20" ht="12.75">
      <c r="A221" s="11" t="str">
        <v>UPDATE DETAILS</v>
      </c>
      <c r="B221" s="11" t="str">
        <v>SET SCHEDULE</v>
      </c>
      <c r="C221" s="17" t="s">
        <v>617</v>
      </c>
      <c r="D221" s="17" t="s">
        <v>535</v>
      </c>
      <c r="E221" s="17" t="s">
        <v>618</v>
      </c>
      <c r="F221" s="17" t="s">
        <v>621</v>
      </c>
      <c r="G221" t="str">
        <v xml:space="preserve">WCMC - 211 E 80th St - Edocrinology - Imeperto-McGinley, Julianne - </v>
      </c>
      <c r="H221" t="s">
        <v>253</v>
      </c>
      <c r="J221" s="17" t="s">
        <v>15</v>
      </c>
      <c r="K221" s="19" t="s">
        <v>250</v>
      </c>
      <c r="L221" s="17" t="s">
        <v>45</v>
      </c>
      <c r="M221" s="17" t="str">
        <f ca="1"/>
        <v>UNKNOWN</v>
      </c>
      <c r="N221" s="17" t="s">
        <v>15</v>
      </c>
      <c r="O221" s="13" t="str">
        <f ca="1"/>
        <v/>
      </c>
      <c r="P221" s="13" t="str">
        <f ca="1"/>
        <v/>
      </c>
      <c r="Q221" s="13" t="str">
        <f ca="1"/>
        <v/>
      </c>
      <c r="R221" s="17" t="str">
        <f ca="1"/>
        <v/>
      </c>
      <c r="S221" t="str">
        <f ca="1"/>
        <v/>
      </c>
      <c r="T221" s="20" t="str">
        <v/>
      </c>
    </row>
    <row r="222" spans="1:20" ht="12.75">
      <c r="A222" s="11" t="str">
        <v>UPDATE DETAILS</v>
      </c>
      <c r="B222" s="11" t="str">
        <v>SET SCHEDULE</v>
      </c>
      <c r="C222" s="17" t="s">
        <v>617</v>
      </c>
      <c r="D222" s="17" t="s">
        <v>535</v>
      </c>
      <c r="E222" s="17" t="s">
        <v>618</v>
      </c>
      <c r="F222" s="17" t="s">
        <v>622</v>
      </c>
      <c r="G222" t="str">
        <v xml:space="preserve">WCMC - 211 E 80th St - Edocrinology - Katz, Melissa - </v>
      </c>
      <c r="H222" t="s">
        <v>254</v>
      </c>
      <c r="J222" s="17" t="s">
        <v>15</v>
      </c>
      <c r="K222" s="19" t="s">
        <v>250</v>
      </c>
      <c r="L222" s="17" t="s">
        <v>45</v>
      </c>
      <c r="M222" s="17" t="str">
        <f ca="1"/>
        <v>UNKNOWN</v>
      </c>
      <c r="N222" s="17" t="s">
        <v>15</v>
      </c>
      <c r="O222" s="13" t="str">
        <f ca="1"/>
        <v/>
      </c>
      <c r="P222" s="13" t="str">
        <f ca="1"/>
        <v/>
      </c>
      <c r="Q222" s="13" t="str">
        <f ca="1"/>
        <v/>
      </c>
      <c r="R222" s="17" t="str">
        <f ca="1"/>
        <v/>
      </c>
      <c r="S222" t="str">
        <f ca="1"/>
        <v/>
      </c>
      <c r="T222" s="20" t="str">
        <v/>
      </c>
    </row>
    <row r="223" spans="1:20" ht="12.75">
      <c r="A223" s="11" t="str">
        <v>UPDATE DETAILS</v>
      </c>
      <c r="B223" s="11" t="str">
        <v>SET SCHEDULE</v>
      </c>
      <c r="C223" s="17" t="s">
        <v>617</v>
      </c>
      <c r="D223" s="17" t="s">
        <v>535</v>
      </c>
      <c r="E223" s="17" t="s">
        <v>618</v>
      </c>
      <c r="F223" s="17" t="s">
        <v>623</v>
      </c>
      <c r="G223" t="str">
        <v xml:space="preserve">WCMC - 211 E 80th St - Edocrinology - Mendelsohn-Curanaj, Felicia - </v>
      </c>
      <c r="H223" t="s">
        <v>255</v>
      </c>
      <c r="J223" s="17" t="s">
        <v>15</v>
      </c>
      <c r="K223" s="19" t="s">
        <v>250</v>
      </c>
      <c r="L223" s="17" t="s">
        <v>45</v>
      </c>
      <c r="M223" s="17" t="str">
        <f ca="1"/>
        <v>UNKNOWN</v>
      </c>
      <c r="N223" s="17" t="s">
        <v>15</v>
      </c>
      <c r="O223" s="13" t="str">
        <f ca="1"/>
        <v/>
      </c>
      <c r="P223" s="13" t="str">
        <f ca="1"/>
        <v/>
      </c>
      <c r="Q223" s="13" t="str">
        <f ca="1"/>
        <v/>
      </c>
      <c r="R223" s="17" t="str">
        <f ca="1"/>
        <v/>
      </c>
      <c r="S223" t="str">
        <f ca="1"/>
        <v/>
      </c>
      <c r="T223" s="20" t="str">
        <v/>
      </c>
    </row>
    <row r="224" spans="1:20" ht="12.75">
      <c r="A224" s="11" t="str">
        <v>UPDATE DETAILS</v>
      </c>
      <c r="B224" s="11" t="str">
        <v>SET SCHEDULE</v>
      </c>
      <c r="C224" s="17" t="s">
        <v>617</v>
      </c>
      <c r="D224" s="17" t="s">
        <v>535</v>
      </c>
      <c r="E224" s="17" t="s">
        <v>618</v>
      </c>
      <c r="F224" s="17" t="s">
        <v>284</v>
      </c>
      <c r="G224" t="str">
        <v xml:space="preserve">WCMC - 211 E 80th St - Edocrinology - Schulman, Aaron - </v>
      </c>
      <c r="H224" t="s">
        <v>256</v>
      </c>
      <c r="J224" s="17" t="s">
        <v>15</v>
      </c>
      <c r="K224" s="19" t="s">
        <v>250</v>
      </c>
      <c r="L224" s="17" t="s">
        <v>45</v>
      </c>
      <c r="M224" s="17" t="str">
        <f ca="1"/>
        <v>UNKNOWN</v>
      </c>
      <c r="N224" s="17" t="s">
        <v>15</v>
      </c>
      <c r="O224" s="13" t="str">
        <f ca="1"/>
        <v/>
      </c>
      <c r="P224" s="13" t="str">
        <f ca="1"/>
        <v/>
      </c>
      <c r="Q224" s="13" t="str">
        <f ca="1"/>
        <v/>
      </c>
      <c r="R224" s="17" t="str">
        <f ca="1"/>
        <v/>
      </c>
      <c r="S224" t="str">
        <f ca="1"/>
        <v/>
      </c>
      <c r="T224" s="20" t="str">
        <v/>
      </c>
    </row>
    <row r="225" spans="1:20" ht="12.75">
      <c r="A225" s="11" t="str">
        <v>UPDATE DETAILS</v>
      </c>
      <c r="B225" s="11" t="str">
        <v>SET SCHEDULE</v>
      </c>
      <c r="C225" s="17" t="s">
        <v>617</v>
      </c>
      <c r="D225" s="17" t="s">
        <v>535</v>
      </c>
      <c r="E225" s="17" t="s">
        <v>618</v>
      </c>
      <c r="F225" s="17" t="s">
        <v>624</v>
      </c>
      <c r="G225" t="str">
        <v xml:space="preserve">WCMC - 211 E 80th St - Edocrinology - Schwartz, Brian - </v>
      </c>
      <c r="H225" t="s">
        <v>257</v>
      </c>
      <c r="J225" s="17" t="s">
        <v>15</v>
      </c>
      <c r="K225" s="19" t="s">
        <v>250</v>
      </c>
      <c r="L225" s="17" t="s">
        <v>45</v>
      </c>
      <c r="M225" s="17" t="str">
        <f ca="1"/>
        <v>UNKNOWN</v>
      </c>
      <c r="N225" s="17" t="s">
        <v>15</v>
      </c>
      <c r="O225" s="13" t="str">
        <f ca="1"/>
        <v/>
      </c>
      <c r="P225" s="13" t="str">
        <f ca="1"/>
        <v/>
      </c>
      <c r="Q225" s="13" t="str">
        <f ca="1"/>
        <v/>
      </c>
      <c r="R225" s="17" t="str">
        <f ca="1"/>
        <v/>
      </c>
      <c r="S225" t="str">
        <f ca="1"/>
        <v/>
      </c>
      <c r="T225" s="20" t="str">
        <v/>
      </c>
    </row>
    <row r="226" spans="1:20" ht="12.75">
      <c r="A226" s="11" t="str">
        <v>UPDATE DETAILS</v>
      </c>
      <c r="B226" s="11" t="str">
        <v>SET SCHEDULE</v>
      </c>
      <c r="C226" s="17" t="s">
        <v>617</v>
      </c>
      <c r="D226" s="17" t="s">
        <v>535</v>
      </c>
      <c r="E226" s="17" t="s">
        <v>618</v>
      </c>
      <c r="F226" s="17" t="s">
        <v>625</v>
      </c>
      <c r="G226" t="str">
        <v xml:space="preserve">WCMC - 211 E 80th St - Edocrinology - Schwartz, Naina - </v>
      </c>
      <c r="H226" t="s">
        <v>258</v>
      </c>
      <c r="J226" s="17" t="s">
        <v>15</v>
      </c>
      <c r="K226" s="19" t="s">
        <v>250</v>
      </c>
      <c r="L226" s="17" t="s">
        <v>45</v>
      </c>
      <c r="M226" s="17" t="str">
        <f ca="1"/>
        <v>UNKNOWN</v>
      </c>
      <c r="N226" s="17" t="s">
        <v>15</v>
      </c>
      <c r="O226" s="13" t="str">
        <f ca="1"/>
        <v/>
      </c>
      <c r="P226" s="13" t="str">
        <f ca="1"/>
        <v/>
      </c>
      <c r="Q226" s="13" t="str">
        <f ca="1"/>
        <v/>
      </c>
      <c r="R226" s="17" t="str">
        <f ca="1"/>
        <v/>
      </c>
      <c r="S226" t="str">
        <f ca="1"/>
        <v/>
      </c>
      <c r="T226" s="20" t="str">
        <v/>
      </c>
    </row>
    <row r="227" spans="1:20" ht="12.75">
      <c r="A227" s="11" t="str">
        <v>UPDATE DETAILS</v>
      </c>
      <c r="B227" s="11" t="str">
        <v>SET SCHEDULE</v>
      </c>
      <c r="C227" s="17" t="s">
        <v>617</v>
      </c>
      <c r="D227" s="17" t="s">
        <v>535</v>
      </c>
      <c r="E227" s="17" t="s">
        <v>618</v>
      </c>
      <c r="F227" s="17" t="s">
        <v>626</v>
      </c>
      <c r="G227" t="str">
        <v xml:space="preserve">WCMC - 211 E 80th St - Edocrinology - Sobel, Vivian - </v>
      </c>
      <c r="H227" t="s">
        <v>259</v>
      </c>
      <c r="J227" s="17" t="s">
        <v>15</v>
      </c>
      <c r="K227" s="19" t="s">
        <v>250</v>
      </c>
      <c r="L227" s="17" t="s">
        <v>45</v>
      </c>
      <c r="M227" s="17" t="str">
        <f ca="1"/>
        <v>UNKNOWN</v>
      </c>
      <c r="N227" s="17" t="s">
        <v>15</v>
      </c>
      <c r="O227" s="13" t="str">
        <f ca="1"/>
        <v/>
      </c>
      <c r="P227" s="13" t="str">
        <f ca="1"/>
        <v/>
      </c>
      <c r="Q227" s="13" t="str">
        <f ca="1"/>
        <v/>
      </c>
      <c r="R227" s="17" t="str">
        <f ca="1"/>
        <v/>
      </c>
      <c r="S227" t="str">
        <f ca="1"/>
        <v/>
      </c>
      <c r="T227" s="20" t="str">
        <v/>
      </c>
    </row>
    <row r="228" spans="1:20" ht="12.75">
      <c r="A228" s="11" t="str">
        <v>UPDATE DETAILS</v>
      </c>
      <c r="B228" s="11" t="str">
        <v>SET SCHEDULE</v>
      </c>
      <c r="C228" s="17" t="s">
        <v>617</v>
      </c>
      <c r="E228" s="17" t="s">
        <v>627</v>
      </c>
      <c r="G228" t="str">
        <v xml:space="preserve">WCMC - Bariatric Surgery - </v>
      </c>
      <c r="H228" t="s">
        <v>471</v>
      </c>
      <c r="J228" s="17" t="s">
        <v>553</v>
      </c>
      <c r="K228" s="19" t="s">
        <v>472</v>
      </c>
      <c r="L228" s="17" t="s">
        <v>62</v>
      </c>
      <c r="M228" s="17" t="str">
        <f ca="1"/>
        <v>UNKNOWN</v>
      </c>
      <c r="N228" s="17" t="s">
        <v>15</v>
      </c>
      <c r="O228" s="13" t="str">
        <f ca="1"/>
        <v/>
      </c>
      <c r="P228" s="13" t="str">
        <f ca="1"/>
        <v/>
      </c>
      <c r="Q228" s="13" t="str">
        <f ca="1"/>
        <v/>
      </c>
      <c r="R228" s="17" t="str">
        <f ca="1"/>
        <v/>
      </c>
      <c r="S228" t="str">
        <f ca="1"/>
        <v/>
      </c>
      <c r="T228" s="20" t="str">
        <v/>
      </c>
    </row>
    <row r="229" spans="1:20" ht="12.75">
      <c r="A229" s="11" t="str">
        <v>UPDATE DETAILS</v>
      </c>
      <c r="B229" s="11" t="str">
        <v>SET SCHEDULE</v>
      </c>
      <c r="C229" s="17" t="s">
        <v>617</v>
      </c>
      <c r="E229" s="17" t="s">
        <v>628</v>
      </c>
      <c r="G229" t="str">
        <v xml:space="preserve">WCMC - General Surgery - </v>
      </c>
      <c r="H229" t="s">
        <v>473</v>
      </c>
      <c r="J229" s="17" t="s">
        <v>553</v>
      </c>
      <c r="K229" s="19" t="s">
        <v>474</v>
      </c>
      <c r="L229" s="17" t="s">
        <v>62</v>
      </c>
      <c r="M229" s="17" t="str">
        <f ca="1"/>
        <v>UNKNOWN</v>
      </c>
      <c r="N229" s="17" t="s">
        <v>15</v>
      </c>
      <c r="O229" s="13" t="str">
        <f ca="1"/>
        <v/>
      </c>
      <c r="P229" s="13" t="str">
        <f ca="1"/>
        <v/>
      </c>
      <c r="Q229" s="13" t="str">
        <f ca="1"/>
        <v/>
      </c>
      <c r="R229" s="17" t="str">
        <f ca="1"/>
        <v/>
      </c>
      <c r="S229" t="str">
        <f ca="1"/>
        <v/>
      </c>
      <c r="T229" s="20" t="str">
        <v/>
      </c>
    </row>
    <row r="230" spans="1:20" ht="12.75">
      <c r="A230" s="11" t="str">
        <v>UPDATE DETAILS</v>
      </c>
      <c r="B230" s="11" t="str">
        <v>SET SCHEDULE</v>
      </c>
      <c r="C230" s="17" t="s">
        <v>629</v>
      </c>
      <c r="D230" s="17" t="s">
        <v>519</v>
      </c>
      <c r="E230" s="17" t="s">
        <v>548</v>
      </c>
      <c r="G230" t="str">
        <v xml:space="preserve">WCP - 156/170 William St - 11th Floor - </v>
      </c>
      <c r="H230" t="s">
        <v>184</v>
      </c>
      <c r="J230" s="17" t="s">
        <v>15</v>
      </c>
      <c r="K230" s="19" t="s">
        <v>185</v>
      </c>
      <c r="L230" s="17" t="s">
        <v>57</v>
      </c>
      <c r="M230" s="17" t="str">
        <f ca="1"/>
        <v>UNKNOWN</v>
      </c>
      <c r="N230" s="17" t="s">
        <v>15</v>
      </c>
      <c r="O230" s="13" t="str">
        <f ca="1"/>
        <v/>
      </c>
      <c r="P230" s="13" t="str">
        <f ca="1"/>
        <v/>
      </c>
      <c r="Q230" s="13" t="str">
        <f ca="1"/>
        <v/>
      </c>
      <c r="R230" s="17" t="str">
        <f ca="1"/>
        <v/>
      </c>
      <c r="S230" t="str">
        <f ca="1"/>
        <v/>
      </c>
      <c r="T230" s="20" t="str">
        <v/>
      </c>
    </row>
    <row r="231" spans="1:20" ht="12.75">
      <c r="A231" s="11" t="str">
        <v>UPDATE DETAILS</v>
      </c>
      <c r="B231" s="11" t="str">
        <v>SET SCHEDULE</v>
      </c>
      <c r="C231" s="17" t="s">
        <v>629</v>
      </c>
      <c r="D231" s="17" t="s">
        <v>519</v>
      </c>
      <c r="E231" s="17" t="s">
        <v>630</v>
      </c>
      <c r="G231" t="str">
        <v xml:space="preserve">WCP - 156/170 William St - 12th Floor - </v>
      </c>
      <c r="H231" t="s">
        <v>186</v>
      </c>
      <c r="J231" s="17" t="s">
        <v>15</v>
      </c>
      <c r="K231" s="19" t="s">
        <v>187</v>
      </c>
      <c r="L231" s="17" t="s">
        <v>57</v>
      </c>
      <c r="M231" s="17" t="str">
        <f ca="1"/>
        <v>UNKNOWN</v>
      </c>
      <c r="N231" s="17" t="s">
        <v>15</v>
      </c>
      <c r="O231" s="13" t="str">
        <f ca="1"/>
        <v/>
      </c>
      <c r="P231" s="13" t="str">
        <f ca="1"/>
        <v/>
      </c>
      <c r="Q231" s="13" t="str">
        <f ca="1"/>
        <v/>
      </c>
      <c r="R231" s="17" t="str">
        <f ca="1"/>
        <v/>
      </c>
      <c r="S231" t="str">
        <f ca="1"/>
        <v/>
      </c>
      <c r="T231" s="20" t="str">
        <v/>
      </c>
    </row>
    <row r="232" spans="1:20" ht="12.75">
      <c r="A232" s="11" t="str">
        <v>UPDATE DETAILS</v>
      </c>
      <c r="B232" s="11" t="str">
        <v>SET SCHEDULE</v>
      </c>
      <c r="C232" s="17" t="s">
        <v>631</v>
      </c>
      <c r="D232" s="17" t="s">
        <v>632</v>
      </c>
      <c r="E232" s="17" t="s">
        <v>520</v>
      </c>
      <c r="G232" t="str">
        <v xml:space="preserve">WCPN - 233 Broadway - OB/GYN - </v>
      </c>
      <c r="H232" t="s">
        <v>76</v>
      </c>
      <c r="J232" s="17" t="s">
        <v>15</v>
      </c>
      <c r="K232" s="19" t="s">
        <v>77</v>
      </c>
      <c r="L232" s="17" t="s">
        <v>58</v>
      </c>
      <c r="M232" s="17" t="str">
        <f ca="1"/>
        <v>UNKNOWN</v>
      </c>
      <c r="N232" s="17" t="s">
        <v>15</v>
      </c>
      <c r="O232" s="13" t="str">
        <f ca="1"/>
        <v/>
      </c>
      <c r="P232" s="13" t="str">
        <f ca="1"/>
        <v/>
      </c>
      <c r="Q232" s="13" t="str">
        <f ca="1"/>
        <v/>
      </c>
      <c r="R232" s="17" t="str">
        <f ca="1"/>
        <v/>
      </c>
      <c r="S232" t="str">
        <f ca="1"/>
        <v/>
      </c>
      <c r="T232" s="20" t="str">
        <v/>
      </c>
    </row>
    <row r="233" spans="1:20" ht="12.75">
      <c r="A233" s="11" t="str">
        <v>UPDATE DETAILS</v>
      </c>
      <c r="B233" s="11" t="str">
        <v>SET SCHEDULE</v>
      </c>
      <c r="C233" s="17" t="s">
        <v>633</v>
      </c>
      <c r="F233" s="17" t="s">
        <v>492</v>
      </c>
      <c r="G233" t="str">
        <v xml:space="preserve">WCPN Otolaryngology - [OFFICE] - </v>
      </c>
      <c r="H233" t="s">
        <v>188</v>
      </c>
      <c r="J233" s="17" t="s">
        <v>15</v>
      </c>
      <c r="K233" s="19" t="s">
        <v>189</v>
      </c>
      <c r="L233" s="17" t="s">
        <v>57</v>
      </c>
      <c r="M233" s="17" t="str">
        <f ca="1"/>
        <v>UNKNOWN</v>
      </c>
      <c r="N233" s="17" t="s">
        <v>15</v>
      </c>
      <c r="O233" s="13" t="str">
        <f ca="1"/>
        <v/>
      </c>
      <c r="P233" s="13" t="str">
        <f ca="1"/>
        <v/>
      </c>
      <c r="Q233" s="13" t="str">
        <f ca="1"/>
        <v/>
      </c>
      <c r="R233" s="17" t="str">
        <f ca="1"/>
        <v/>
      </c>
      <c r="S233" t="str">
        <f ca="1"/>
        <v/>
      </c>
      <c r="T233" s="20" t="str">
        <v/>
      </c>
    </row>
    <row r="234" spans="1:20" ht="12.75">
      <c r="A234" s="11" t="str">
        <v>UPDATE DETAILS</v>
      </c>
      <c r="B234" s="11" t="str">
        <v>SET SCHEDULE</v>
      </c>
      <c r="C234" s="17" t="s">
        <v>633</v>
      </c>
      <c r="F234" s="17" t="s">
        <v>634</v>
      </c>
      <c r="G234" t="str">
        <v xml:space="preserve">WCPN Otolaryngology - Apicella, Shelia - </v>
      </c>
      <c r="H234" t="s">
        <v>190</v>
      </c>
      <c r="J234" s="17" t="s">
        <v>15</v>
      </c>
      <c r="K234" s="19" t="s">
        <v>189</v>
      </c>
      <c r="L234" s="17" t="s">
        <v>57</v>
      </c>
      <c r="M234" s="17" t="str">
        <f ca="1"/>
        <v>UNKNOWN</v>
      </c>
      <c r="N234" s="17" t="s">
        <v>15</v>
      </c>
      <c r="O234" s="13" t="str">
        <f ca="1"/>
        <v/>
      </c>
      <c r="P234" s="13" t="str">
        <f ca="1"/>
        <v/>
      </c>
      <c r="Q234" s="13" t="str">
        <f ca="1"/>
        <v/>
      </c>
      <c r="R234" s="17" t="str">
        <f ca="1"/>
        <v/>
      </c>
      <c r="S234" t="str">
        <f ca="1"/>
        <v/>
      </c>
      <c r="T234" s="20" t="str">
        <v/>
      </c>
    </row>
    <row r="235" spans="1:20" ht="12.75">
      <c r="A235" s="11" t="str">
        <v>UPDATE DETAILS</v>
      </c>
      <c r="B235" s="11" t="str">
        <v>SET SCHEDULE</v>
      </c>
      <c r="C235" s="17" t="s">
        <v>633</v>
      </c>
      <c r="F235" s="17" t="s">
        <v>635</v>
      </c>
      <c r="G235" t="str">
        <v xml:space="preserve">WCPN Otolaryngology - Gold, Scott - </v>
      </c>
      <c r="H235" t="s">
        <v>191</v>
      </c>
      <c r="J235" s="17" t="s">
        <v>15</v>
      </c>
      <c r="K235" s="19" t="s">
        <v>192</v>
      </c>
      <c r="L235" s="17" t="s">
        <v>57</v>
      </c>
      <c r="M235" s="17" t="str">
        <f ca="1"/>
        <v>UNKNOWN</v>
      </c>
      <c r="N235" s="17" t="s">
        <v>15</v>
      </c>
      <c r="O235" s="13" t="str">
        <f ca="1"/>
        <v/>
      </c>
      <c r="P235" s="13" t="str">
        <f ca="1"/>
        <v/>
      </c>
      <c r="Q235" s="13" t="str">
        <f ca="1"/>
        <v/>
      </c>
      <c r="R235" s="17" t="str">
        <f ca="1"/>
        <v/>
      </c>
      <c r="S235" t="str">
        <f ca="1"/>
        <v/>
      </c>
      <c r="T235" s="20" t="str">
        <v/>
      </c>
    </row>
    <row r="236" spans="1:20" ht="12.75">
      <c r="A236" s="11" t="str">
        <v>UPDATE DETAILS</v>
      </c>
      <c r="B236" s="11" t="str">
        <v>SET SCHEDULE</v>
      </c>
      <c r="C236" s="17" t="s">
        <v>633</v>
      </c>
      <c r="F236" s="17" t="s">
        <v>636</v>
      </c>
      <c r="G236" t="str">
        <v xml:space="preserve">WCPN Otolaryngology - Horn, Corinne - </v>
      </c>
      <c r="H236" t="s">
        <v>193</v>
      </c>
      <c r="J236" s="17" t="s">
        <v>15</v>
      </c>
      <c r="K236" s="19" t="s">
        <v>189</v>
      </c>
      <c r="L236" s="17" t="s">
        <v>57</v>
      </c>
      <c r="M236" s="17" t="str">
        <f ca="1"/>
        <v>UNKNOWN</v>
      </c>
      <c r="N236" s="17" t="s">
        <v>15</v>
      </c>
      <c r="O236" s="13" t="str">
        <f ca="1"/>
        <v/>
      </c>
      <c r="P236" s="13" t="str">
        <f ca="1"/>
        <v/>
      </c>
      <c r="Q236" s="13" t="str">
        <f ca="1"/>
        <v/>
      </c>
      <c r="R236" s="17" t="str">
        <f ca="1"/>
        <v/>
      </c>
      <c r="S236" t="str">
        <f ca="1"/>
        <v/>
      </c>
      <c r="T236" s="20" t="str">
        <v/>
      </c>
    </row>
    <row r="237" spans="1:20" ht="12.75">
      <c r="A237" s="11" t="str">
        <v>UPDATE DETAILS</v>
      </c>
      <c r="B237" s="11" t="str">
        <v>SET SCHEDULE</v>
      </c>
      <c r="C237" s="17" t="s">
        <v>633</v>
      </c>
      <c r="F237" s="17" t="s">
        <v>637</v>
      </c>
      <c r="G237" t="str">
        <v xml:space="preserve">WCPN Otolaryngology - Karcioglu, Amanda Silver - </v>
      </c>
      <c r="H237" t="s">
        <v>194</v>
      </c>
      <c r="J237" s="17" t="s">
        <v>15</v>
      </c>
      <c r="K237" s="19" t="s">
        <v>189</v>
      </c>
      <c r="L237" s="17" t="s">
        <v>57</v>
      </c>
      <c r="M237" s="17" t="str">
        <f ca="1"/>
        <v>UNKNOWN</v>
      </c>
      <c r="N237" s="17" t="s">
        <v>15</v>
      </c>
      <c r="O237" s="13" t="str">
        <f ca="1"/>
        <v/>
      </c>
      <c r="P237" s="13" t="str">
        <f ca="1"/>
        <v/>
      </c>
      <c r="Q237" s="13" t="str">
        <f ca="1"/>
        <v/>
      </c>
      <c r="R237" s="17" t="str">
        <f ca="1"/>
        <v/>
      </c>
      <c r="S237" s="17" t="str">
        <f ca="1"/>
        <v/>
      </c>
      <c r="T237" s="20" t="str">
        <v/>
      </c>
    </row>
    <row r="238" spans="1:20" ht="12.75">
      <c r="A238" s="11" t="str">
        <v>UPDATE DETAILS</v>
      </c>
      <c r="B238" s="11" t="str">
        <v>SET SCHEDULE</v>
      </c>
      <c r="C238" s="17" t="s">
        <v>633</v>
      </c>
      <c r="F238" s="17" t="s">
        <v>638</v>
      </c>
      <c r="G238" t="str">
        <v xml:space="preserve">WCPN Otolaryngology - Krevitt, Lane - </v>
      </c>
      <c r="H238" t="s">
        <v>195</v>
      </c>
      <c r="J238" s="17" t="s">
        <v>15</v>
      </c>
      <c r="K238" s="19" t="s">
        <v>189</v>
      </c>
      <c r="L238" s="17" t="s">
        <v>57</v>
      </c>
      <c r="M238" s="17" t="str">
        <f ca="1"/>
        <v>UNKNOWN</v>
      </c>
      <c r="N238" s="17" t="s">
        <v>15</v>
      </c>
      <c r="O238" s="13" t="str">
        <f ca="1"/>
        <v/>
      </c>
      <c r="P238" s="13" t="str">
        <f ca="1"/>
        <v/>
      </c>
      <c r="Q238" s="13" t="str">
        <f ca="1"/>
        <v/>
      </c>
      <c r="R238" s="17" t="str">
        <f ca="1"/>
        <v/>
      </c>
      <c r="S238" s="17" t="str">
        <f ca="1"/>
        <v/>
      </c>
      <c r="T238" s="20" t="str">
        <v/>
      </c>
    </row>
    <row r="239" spans="1:20" ht="12.75">
      <c r="A239" s="11" t="str">
        <v>UPDATE DETAILS</v>
      </c>
      <c r="B239" s="11" t="str">
        <v>SET SCHEDULE</v>
      </c>
      <c r="C239" s="17" t="s">
        <v>633</v>
      </c>
      <c r="F239" s="17" t="s">
        <v>639</v>
      </c>
      <c r="G239" t="str">
        <v xml:space="preserve">WCPN Otolaryngology - Pincus, Robert - </v>
      </c>
      <c r="H239" t="s">
        <v>196</v>
      </c>
      <c r="J239" s="17" t="s">
        <v>15</v>
      </c>
      <c r="K239" s="19" t="s">
        <v>197</v>
      </c>
      <c r="L239" s="17" t="s">
        <v>57</v>
      </c>
      <c r="M239" s="17" t="str">
        <f ca="1"/>
        <v>UNKNOWN</v>
      </c>
      <c r="N239" s="17" t="s">
        <v>15</v>
      </c>
      <c r="O239" s="13" t="str">
        <f ca="1"/>
        <v/>
      </c>
      <c r="P239" s="13" t="str">
        <f ca="1"/>
        <v/>
      </c>
      <c r="Q239" s="13" t="str">
        <f ca="1"/>
        <v/>
      </c>
      <c r="R239" s="17" t="str">
        <f ca="1"/>
        <v/>
      </c>
      <c r="S239" s="17" t="str">
        <f ca="1"/>
        <v/>
      </c>
      <c r="T239" s="20" t="str">
        <v/>
      </c>
    </row>
    <row r="240" spans="1:20" ht="12.75">
      <c r="A240" s="11" t="str">
        <v>UPDATE DETAILS</v>
      </c>
      <c r="B240" s="11" t="str">
        <v>SET SCHEDULE</v>
      </c>
      <c r="C240" s="17" t="s">
        <v>633</v>
      </c>
      <c r="F240" s="17" t="s">
        <v>640</v>
      </c>
      <c r="G240" t="str">
        <v xml:space="preserve">WCPN Otolaryngology - Sperling, Neil - </v>
      </c>
      <c r="H240" t="s">
        <v>198</v>
      </c>
      <c r="J240" s="17" t="s">
        <v>15</v>
      </c>
      <c r="K240" s="19" t="s">
        <v>189</v>
      </c>
      <c r="L240" s="17" t="s">
        <v>57</v>
      </c>
      <c r="M240" s="17" t="str">
        <f ca="1"/>
        <v>UNKNOWN</v>
      </c>
      <c r="N240" s="17" t="s">
        <v>15</v>
      </c>
      <c r="O240" s="13" t="str">
        <f ca="1"/>
        <v/>
      </c>
      <c r="P240" s="13" t="str">
        <f ca="1"/>
        <v/>
      </c>
      <c r="Q240" s="13" t="str">
        <f ca="1"/>
        <v/>
      </c>
      <c r="R240" s="17" t="str">
        <f ca="1"/>
        <v/>
      </c>
      <c r="S240" s="17" t="str">
        <f ca="1"/>
        <v/>
      </c>
      <c r="T240" s="20" t="str">
        <v/>
      </c>
    </row>
    <row r="241" spans="1:20" ht="12.75">
      <c r="A241" s="11" t="str">
        <v>UPDATE DETAILS</v>
      </c>
      <c r="B241" s="11" t="str">
        <v>SET SCHEDULE</v>
      </c>
      <c r="F241" s="17" t="s">
        <v>70</v>
      </c>
      <c r="G241" t="str">
        <v xml:space="preserve">Weiser-McCarthy, Jessica  - </v>
      </c>
      <c r="H241" t="s">
        <v>70</v>
      </c>
      <c r="J241" s="17" t="s">
        <v>15</v>
      </c>
      <c r="K241" s="19" t="s">
        <v>71</v>
      </c>
      <c r="L241" s="17" t="s">
        <v>13</v>
      </c>
      <c r="M241" s="17" t="str">
        <f ca="1"/>
        <v>UNKNOWN</v>
      </c>
      <c r="N241" s="17" t="s">
        <v>15</v>
      </c>
      <c r="O241" s="13" t="str">
        <f ca="1"/>
        <v/>
      </c>
      <c r="P241" s="13" t="str">
        <f ca="1"/>
        <v/>
      </c>
      <c r="Q241" s="13" t="str">
        <f ca="1"/>
        <v/>
      </c>
      <c r="R241" s="17" t="str">
        <f ca="1"/>
        <v/>
      </c>
      <c r="S241" t="str">
        <f ca="1"/>
        <v/>
      </c>
      <c r="T241" s="20" t="str">
        <v/>
      </c>
    </row>
    <row r="242" spans="1:20" ht="12.75">
      <c r="A242" s="11" t="str">
        <v>UPDATE DETAILS</v>
      </c>
      <c r="B242" s="11" t="str">
        <v>SET SCHEDULE</v>
      </c>
      <c r="F242" s="17" t="s">
        <v>475</v>
      </c>
      <c r="G242" t="str">
        <v xml:space="preserve">Weiss, Jona - </v>
      </c>
      <c r="H242" t="s">
        <v>475</v>
      </c>
      <c r="J242" s="17" t="s">
        <v>15</v>
      </c>
      <c r="K242" s="19" t="s">
        <v>476</v>
      </c>
      <c r="L242" s="17" t="s">
        <v>62</v>
      </c>
      <c r="M242" s="17" t="str">
        <f ca="1"/>
        <v>UNKNOWN</v>
      </c>
      <c r="N242" s="17" t="s">
        <v>15</v>
      </c>
      <c r="O242" s="13" t="str">
        <f ca="1"/>
        <v/>
      </c>
      <c r="P242" s="13" t="str">
        <f ca="1"/>
        <v/>
      </c>
      <c r="Q242" s="13" t="str">
        <f ca="1"/>
        <v/>
      </c>
      <c r="R242" s="17" t="str">
        <f ca="1"/>
        <v/>
      </c>
      <c r="S242" t="str">
        <f ca="1"/>
        <v/>
      </c>
      <c r="T242" s="20" t="str">
        <v/>
      </c>
    </row>
    <row r="243" spans="1:20" ht="12.75">
      <c r="A243" s="11" t="str">
        <v>UPDATE DETAILS</v>
      </c>
      <c r="B243" s="11" t="str">
        <v>SET SCHEDULE</v>
      </c>
      <c r="F243" s="17" t="s">
        <v>72</v>
      </c>
      <c r="G243" t="str">
        <v xml:space="preserve">Weitzman, Gil / Cantor, Michael - </v>
      </c>
      <c r="H243" t="s">
        <v>72</v>
      </c>
      <c r="J243" s="17" t="s">
        <v>15</v>
      </c>
      <c r="K243" s="19" t="s">
        <v>73</v>
      </c>
      <c r="L243" s="17" t="s">
        <v>13</v>
      </c>
      <c r="M243" s="17" t="str">
        <f ca="1"/>
        <v>UNKNOWN</v>
      </c>
      <c r="N243" s="17" t="s">
        <v>15</v>
      </c>
      <c r="O243" s="13" t="str">
        <f ca="1"/>
        <v/>
      </c>
      <c r="P243" s="13" t="str">
        <f ca="1"/>
        <v/>
      </c>
      <c r="Q243" s="13" t="str">
        <f ca="1"/>
        <v/>
      </c>
      <c r="R243" s="17" t="str">
        <f ca="1"/>
        <v/>
      </c>
      <c r="S243" t="str">
        <f ca="1"/>
        <v/>
      </c>
      <c r="T243" s="20" t="str">
        <v/>
      </c>
    </row>
    <row r="244" spans="1:20" ht="12.75">
      <c r="A244" s="11" t="str">
        <v>UPDATE DETAILS</v>
      </c>
      <c r="B244" s="11" t="str">
        <v>SET SCHEDULE</v>
      </c>
      <c r="F244" s="17" t="s">
        <v>477</v>
      </c>
      <c r="G244" t="str">
        <v xml:space="preserve">Williams, John - </v>
      </c>
      <c r="H244" t="s">
        <v>477</v>
      </c>
      <c r="J244" s="17" t="s">
        <v>553</v>
      </c>
      <c r="K244" s="19" t="s">
        <v>478</v>
      </c>
      <c r="L244" s="17" t="s">
        <v>62</v>
      </c>
      <c r="M244" s="17" t="str">
        <f ca="1"/>
        <v>UNKNOWN</v>
      </c>
      <c r="N244" s="17" t="s">
        <v>15</v>
      </c>
      <c r="O244" s="13" t="str">
        <f ca="1"/>
        <v/>
      </c>
      <c r="P244" s="13" t="str">
        <f ca="1"/>
        <v/>
      </c>
      <c r="Q244" s="13" t="str">
        <f ca="1"/>
        <v/>
      </c>
      <c r="R244" s="17" t="str">
        <f ca="1"/>
        <v/>
      </c>
      <c r="S244" t="str">
        <f ca="1"/>
        <v/>
      </c>
      <c r="T244" s="20" t="str">
        <v/>
      </c>
    </row>
    <row r="245" spans="1:20" ht="12.75">
      <c r="A245" s="11" t="str">
        <v>UPDATE DETAILS</v>
      </c>
      <c r="B245" s="11" t="str">
        <v>SET SCHEDULE</v>
      </c>
      <c r="F245" s="17" t="s">
        <v>108</v>
      </c>
      <c r="G245" t="str">
        <v xml:space="preserve">Wolf, David - </v>
      </c>
      <c r="H245" t="s">
        <v>108</v>
      </c>
      <c r="J245" s="17" t="s">
        <v>15</v>
      </c>
      <c r="K245" s="19" t="s">
        <v>109</v>
      </c>
      <c r="L245" s="17" t="s">
        <v>48</v>
      </c>
      <c r="M245" s="17" t="str">
        <f ca="1"/>
        <v>UNKNOWN</v>
      </c>
      <c r="N245" s="17" t="s">
        <v>15</v>
      </c>
      <c r="O245" s="13" t="str">
        <f ca="1"/>
        <v/>
      </c>
      <c r="P245" s="13" t="str">
        <f ca="1"/>
        <v/>
      </c>
      <c r="Q245" s="13" t="str">
        <f ca="1"/>
        <v/>
      </c>
      <c r="R245" s="17" t="str">
        <f ca="1"/>
        <v/>
      </c>
      <c r="S245" s="17" t="str">
        <f ca="1"/>
        <v/>
      </c>
      <c r="T245" s="20" t="str">
        <v/>
      </c>
    </row>
    <row r="246" spans="1:20" ht="12.75">
      <c r="A246" s="11" t="str">
        <v>UPDATE DETAILS</v>
      </c>
      <c r="B246" s="11" t="str">
        <v>SET SCHEDULE</v>
      </c>
      <c r="C246" s="17" t="s">
        <v>479</v>
      </c>
      <c r="G246" t="str">
        <v xml:space="preserve">WRIGHT CENTER - </v>
      </c>
      <c r="H246" t="s">
        <v>479</v>
      </c>
      <c r="J246" s="17" t="s">
        <v>15</v>
      </c>
      <c r="K246" s="19" t="s">
        <v>480</v>
      </c>
      <c r="L246" s="17" t="s">
        <v>62</v>
      </c>
      <c r="M246" s="17" t="str">
        <f ca="1"/>
        <v>UNKNOWN</v>
      </c>
      <c r="N246" s="17" t="s">
        <v>15</v>
      </c>
      <c r="O246" s="13" t="str">
        <f ca="1"/>
        <v/>
      </c>
      <c r="P246" s="13" t="str">
        <f ca="1"/>
        <v/>
      </c>
      <c r="Q246" s="13" t="str">
        <f ca="1"/>
        <v/>
      </c>
      <c r="R246" s="17" t="str">
        <f ca="1"/>
        <v/>
      </c>
      <c r="S246" t="str">
        <f ca="1"/>
        <v/>
      </c>
      <c r="T246" s="20" t="str">
        <v/>
      </c>
    </row>
    <row r="247" spans="1:20" ht="12.75">
      <c r="A247" s="11" t="str">
        <v>UPDATE DETAILS</v>
      </c>
      <c r="B247" s="11" t="str">
        <v>SET SCHEDULE</v>
      </c>
      <c r="F247" s="17" t="s">
        <v>142</v>
      </c>
      <c r="G247" t="str">
        <v xml:space="preserve">Wu, Jennifer - </v>
      </c>
      <c r="H247" t="s">
        <v>142</v>
      </c>
      <c r="J247" s="17" t="s">
        <v>15</v>
      </c>
      <c r="K247" s="19" t="s">
        <v>143</v>
      </c>
      <c r="L247" s="17" t="s">
        <v>60</v>
      </c>
      <c r="M247" s="17" t="str">
        <f ca="1"/>
        <v>UNKNOWN</v>
      </c>
      <c r="N247" s="17" t="s">
        <v>15</v>
      </c>
      <c r="O247" s="13" t="str">
        <f ca="1"/>
        <v/>
      </c>
      <c r="P247" s="13" t="str">
        <f ca="1"/>
        <v/>
      </c>
      <c r="Q247" s="13" t="str">
        <f ca="1"/>
        <v/>
      </c>
      <c r="R247" s="17" t="str">
        <f ca="1"/>
        <v/>
      </c>
      <c r="S247" t="str">
        <f ca="1"/>
        <v/>
      </c>
      <c r="T247" s="20" t="str">
        <v/>
      </c>
    </row>
    <row r="248" spans="1:20" ht="12.75">
      <c r="A248" s="11" t="str">
        <v>UPDATE DETAILS</v>
      </c>
      <c r="B248" s="11" t="str">
        <v>SET SCHEDULE</v>
      </c>
      <c r="F248" s="17" t="s">
        <v>148</v>
      </c>
      <c r="G248" t="str">
        <v xml:space="preserve">Wu, Jennifer  (WMWH) 2nd LOC. - </v>
      </c>
      <c r="H248" t="s">
        <v>148</v>
      </c>
      <c r="J248" s="17" t="s">
        <v>15</v>
      </c>
      <c r="K248" s="19" t="s">
        <v>149</v>
      </c>
      <c r="L248" s="17" t="s">
        <v>60</v>
      </c>
      <c r="M248" s="17" t="str">
        <f ca="1"/>
        <v>UNKNOWN</v>
      </c>
      <c r="N248" s="17" t="s">
        <v>15</v>
      </c>
      <c r="O248" s="13" t="str">
        <f ca="1"/>
        <v/>
      </c>
      <c r="P248" s="13" t="str">
        <f ca="1"/>
        <v/>
      </c>
      <c r="Q248" s="13" t="str">
        <f ca="1"/>
        <v/>
      </c>
      <c r="R248" s="17" t="str">
        <f ca="1"/>
        <v/>
      </c>
      <c r="S248" t="str">
        <f ca="1"/>
        <v/>
      </c>
      <c r="T248" s="20" t="str">
        <v/>
      </c>
    </row>
    <row r="249" spans="1:20" ht="14.25">
      <c r="A249" s="11" t="str">
        <v>UPDATE DETAILS</v>
      </c>
      <c r="B249" s="11" t="str">
        <v>SET SCHEDULE</v>
      </c>
      <c r="D249" s="22" t="s">
        <v>641</v>
      </c>
      <c r="E249" s="17" t="s">
        <v>642</v>
      </c>
      <c r="F249" s="17" t="s">
        <v>643</v>
      </c>
      <c r="G249" t="str">
        <v xml:space="preserve">525 East 68th Street - J130 - Wu, Sydney - </v>
      </c>
      <c r="H249" t="s">
        <v>119</v>
      </c>
      <c r="J249" s="17" t="s">
        <v>15</v>
      </c>
      <c r="K249" s="19" t="s">
        <v>120</v>
      </c>
      <c r="L249" s="17" t="s">
        <v>55</v>
      </c>
      <c r="M249" s="17" t="str">
        <f ca="1"/>
        <v>UNKNOWN</v>
      </c>
      <c r="N249" s="17" t="s">
        <v>15</v>
      </c>
      <c r="O249" s="13" t="str">
        <f ca="1"/>
        <v/>
      </c>
      <c r="P249" s="13" t="str">
        <f ca="1"/>
        <v/>
      </c>
      <c r="Q249" s="13" t="str">
        <f ca="1"/>
        <v/>
      </c>
      <c r="R249" s="17" t="str">
        <f ca="1"/>
        <v/>
      </c>
      <c r="S249" s="17" t="str">
        <f ca="1"/>
        <v/>
      </c>
      <c r="T249" s="20" t="str">
        <v/>
      </c>
    </row>
    <row r="250" spans="1:20" ht="12.75">
      <c r="A250" s="11" t="str">
        <v>UPDATE DETAILS</v>
      </c>
      <c r="B250" s="11" t="str">
        <v>SET SCHEDULE</v>
      </c>
      <c r="F250" s="17" t="s">
        <v>285</v>
      </c>
      <c r="G250" t="str">
        <v xml:space="preserve">Yaghoobzadeh, Hooman - </v>
      </c>
      <c r="H250" t="s">
        <v>285</v>
      </c>
      <c r="J250" s="17" t="s">
        <v>15</v>
      </c>
      <c r="K250" s="19" t="s">
        <v>286</v>
      </c>
      <c r="L250" s="17" t="s">
        <v>61</v>
      </c>
      <c r="M250" s="17" t="str">
        <f ca="1"/>
        <v>UNKNOWN</v>
      </c>
      <c r="N250" s="17" t="s">
        <v>15</v>
      </c>
      <c r="O250" s="13" t="str">
        <f ca="1"/>
        <v/>
      </c>
      <c r="P250" s="13" t="str">
        <f ca="1"/>
        <v/>
      </c>
      <c r="Q250" s="13" t="str">
        <f ca="1"/>
        <v/>
      </c>
      <c r="R250" s="17" t="str">
        <f ca="1"/>
        <v/>
      </c>
      <c r="S250" t="str">
        <f ca="1"/>
        <v/>
      </c>
      <c r="T250" s="20" t="str">
        <v/>
      </c>
    </row>
    <row r="251" spans="1:20" ht="12.75">
      <c r="A251" s="11" t="str">
        <v>UPDATE DETAILS</v>
      </c>
      <c r="B251" s="11" t="str">
        <v>SET SCHEDULE</v>
      </c>
      <c r="F251" s="17" t="s">
        <v>481</v>
      </c>
      <c r="G251" t="str">
        <v xml:space="preserve">Yarberry-Allen, Patricia  - </v>
      </c>
      <c r="H251" t="s">
        <v>481</v>
      </c>
      <c r="J251" s="17" t="s">
        <v>15</v>
      </c>
      <c r="K251" s="19" t="s">
        <v>482</v>
      </c>
      <c r="L251" s="17" t="s">
        <v>62</v>
      </c>
      <c r="M251" s="17" t="str">
        <f ca="1"/>
        <v>UNKNOWN</v>
      </c>
      <c r="N251" s="17" t="s">
        <v>15</v>
      </c>
      <c r="O251" s="13" t="str">
        <f ca="1"/>
        <v/>
      </c>
      <c r="P251" s="13" t="str">
        <f ca="1"/>
        <v/>
      </c>
      <c r="Q251" s="13" t="str">
        <f ca="1"/>
        <v/>
      </c>
      <c r="R251" s="17" t="str">
        <f ca="1"/>
        <v/>
      </c>
      <c r="S251" t="str">
        <f ca="1"/>
        <v/>
      </c>
      <c r="T251" s="20" t="str">
        <v/>
      </c>
    </row>
    <row r="252" spans="1:20" ht="12.75">
      <c r="A252" s="11" t="str">
        <v>UPDATE DETAILS</v>
      </c>
      <c r="B252" s="11" t="str">
        <v>SET SCHEDULE</v>
      </c>
      <c r="F252" s="17" t="s">
        <v>330</v>
      </c>
      <c r="G252" t="str">
        <v xml:space="preserve">Yu, Joyce - </v>
      </c>
      <c r="H252" t="s">
        <v>330</v>
      </c>
      <c r="J252" s="17" t="s">
        <v>15</v>
      </c>
      <c r="K252" s="19" t="s">
        <v>331</v>
      </c>
      <c r="L252" s="17" t="s">
        <v>53</v>
      </c>
      <c r="M252" s="17" t="str">
        <f ca="1"/>
        <v>UNKNOWN</v>
      </c>
      <c r="N252" s="17" t="s">
        <v>15</v>
      </c>
      <c r="O252" s="13" t="str">
        <f ca="1"/>
        <v/>
      </c>
      <c r="P252" s="13" t="str">
        <f ca="1"/>
        <v/>
      </c>
      <c r="Q252" s="13" t="str">
        <f ca="1"/>
        <v/>
      </c>
      <c r="R252" s="17" t="str">
        <f ca="1"/>
        <v/>
      </c>
      <c r="S252" t="str">
        <f ca="1"/>
        <v/>
      </c>
      <c r="T252" s="20" t="str">
        <v/>
      </c>
    </row>
    <row r="253" spans="1:20" ht="12.75">
      <c r="A253" s="11" t="str">
        <v>UPDATE DETAILS</v>
      </c>
      <c r="B253" s="11" t="str">
        <v>SET SCHEDULE</v>
      </c>
      <c r="F253" s="17" t="s">
        <v>287</v>
      </c>
      <c r="G253" t="str">
        <v xml:space="preserve">Ziecheck, Wendy - </v>
      </c>
      <c r="H253" t="s">
        <v>287</v>
      </c>
      <c r="J253" s="17" t="s">
        <v>15</v>
      </c>
      <c r="K253" s="19" t="s">
        <v>288</v>
      </c>
      <c r="L253" s="17" t="s">
        <v>61</v>
      </c>
      <c r="M253" s="17" t="str">
        <f ca="1"/>
        <v>UNKNOWN</v>
      </c>
      <c r="N253" s="17" t="s">
        <v>15</v>
      </c>
      <c r="O253" s="13" t="str">
        <f ca="1"/>
        <v/>
      </c>
      <c r="P253" s="13" t="str">
        <f ca="1"/>
        <v/>
      </c>
      <c r="Q253" s="13" t="str">
        <f ca="1"/>
        <v/>
      </c>
      <c r="R253" s="17" t="str">
        <f ca="1"/>
        <v/>
      </c>
      <c r="S253" t="str">
        <f ca="1"/>
        <v/>
      </c>
      <c r="T253" s="20" t="str">
        <v/>
      </c>
    </row>
    <row r="254" spans="1:20" ht="14.25">
      <c r="A254" s="11" t="str">
        <v>UPDATE DETAILS</v>
      </c>
      <c r="B254" s="11" t="str">
        <v>SET SCHEDULE</v>
      </c>
      <c r="C254" s="17" t="s">
        <v>644</v>
      </c>
      <c r="D254" s="22" t="s">
        <v>645</v>
      </c>
      <c r="E254" s="17" t="s">
        <v>646</v>
      </c>
      <c r="F254" s="17"/>
      <c r="G254" t="str">
        <v xml:space="preserve">LMH Internal Medicine - 156 William Street - 7th Floor - </v>
      </c>
      <c r="H254" t="s">
        <v>199</v>
      </c>
      <c r="J254" s="17" t="s">
        <v>15</v>
      </c>
      <c r="K254" s="19" t="s">
        <v>115</v>
      </c>
      <c r="L254" s="17" t="s">
        <v>57</v>
      </c>
      <c r="M254" s="17" t="str">
        <f ca="1"/>
        <v>UNKNOWN</v>
      </c>
      <c r="N254" s="17" t="s">
        <v>15</v>
      </c>
      <c r="O254" s="13" t="str">
        <f ca="1"/>
        <v/>
      </c>
      <c r="P254" s="13" t="str">
        <f ca="1"/>
        <v/>
      </c>
      <c r="Q254" s="13" t="str">
        <f ca="1"/>
        <v/>
      </c>
      <c r="R254" s="17" t="str">
        <f ca="1"/>
        <v/>
      </c>
      <c r="S254" t="str">
        <f ca="1"/>
        <v/>
      </c>
      <c r="T254" s="20" t="str">
        <v/>
      </c>
    </row>
    <row r="255" spans="1:20" ht="14.25">
      <c r="A255" s="11" t="str">
        <v>UPDATE DETAILS</v>
      </c>
      <c r="B255" s="11" t="str">
        <v>SET SCHEDULE</v>
      </c>
      <c r="C255" s="17" t="s">
        <v>574</v>
      </c>
      <c r="D255" s="22" t="s">
        <v>647</v>
      </c>
      <c r="F255" s="17" t="s">
        <v>648</v>
      </c>
      <c r="G255" t="str">
        <v xml:space="preserve">CRM - 215 East 68th Street - Melnick, Alexis - </v>
      </c>
      <c r="H255" t="s">
        <v>110</v>
      </c>
      <c r="J255" s="17" t="s">
        <v>15</v>
      </c>
      <c r="K255" s="19" t="s">
        <v>95</v>
      </c>
      <c r="L255" s="17" t="s">
        <v>48</v>
      </c>
      <c r="M255" s="17" t="str">
        <f ca="1"/>
        <v>UNKNOWN</v>
      </c>
      <c r="N255" s="17" t="s">
        <v>15</v>
      </c>
      <c r="O255" s="13" t="str">
        <f ca="1"/>
        <v/>
      </c>
      <c r="P255" s="13" t="str">
        <f ca="1"/>
        <v/>
      </c>
      <c r="Q255" s="13" t="str">
        <f ca="1"/>
        <v/>
      </c>
      <c r="R255" s="17" t="str">
        <f ca="1"/>
        <v/>
      </c>
      <c r="S255" t="str">
        <f ca="1"/>
        <v/>
      </c>
      <c r="T255" s="20" t="str">
        <v/>
      </c>
    </row>
    <row r="256" spans="1:20" ht="14.25">
      <c r="A256" s="11" t="str">
        <v>UPDATE DETAILS</v>
      </c>
      <c r="B256" s="11" t="str">
        <v>SET SCHEDULE</v>
      </c>
      <c r="C256" s="17"/>
      <c r="D256" s="22" t="s">
        <v>649</v>
      </c>
      <c r="E256" s="17" t="s">
        <v>548</v>
      </c>
      <c r="F256" s="17" t="s">
        <v>650</v>
      </c>
      <c r="G256" t="str">
        <v xml:space="preserve">635 Madison Ave - 11th Floor - Towfigh, Allen - </v>
      </c>
      <c r="H256" t="s">
        <v>236</v>
      </c>
      <c r="J256" s="17" t="s">
        <v>15</v>
      </c>
      <c r="K256" s="19" t="s">
        <v>237</v>
      </c>
      <c r="L256" s="17" t="s">
        <v>54</v>
      </c>
      <c r="M256" s="17" t="str">
        <f ca="1"/>
        <v>UNKNOWN</v>
      </c>
      <c r="N256" s="17" t="s">
        <v>15</v>
      </c>
      <c r="O256" s="13" t="str">
        <f ca="1"/>
        <v/>
      </c>
      <c r="P256" s="13" t="str">
        <f ca="1"/>
        <v/>
      </c>
      <c r="Q256" s="13" t="str">
        <f ca="1"/>
        <v/>
      </c>
      <c r="R256" s="17" t="str">
        <f ca="1"/>
        <v/>
      </c>
      <c r="S256" t="str">
        <f ca="1"/>
        <v/>
      </c>
      <c r="T256" s="20" t="str">
        <v/>
      </c>
    </row>
  </sheetData>
  <conditionalFormatting sqref="M2:M256">
    <cfRule type="cellIs" dxfId="6" priority="1" operator="equal">
      <formula>"UNKNOWN"</formula>
    </cfRule>
  </conditionalFormatting>
  <conditionalFormatting sqref="M2:M256">
    <cfRule type="cellIs" dxfId="5" priority="2" operator="equal">
      <formula>"OPEN"</formula>
    </cfRule>
  </conditionalFormatting>
  <conditionalFormatting sqref="M2:M256">
    <cfRule type="cellIs" dxfId="4" priority="3" operator="equal">
      <formula>"CLOSED"</formula>
    </cfRule>
  </conditionalFormatting>
  <conditionalFormatting sqref="J2:J256">
    <cfRule type="cellIs" dxfId="3" priority="4" operator="equal">
      <formula>"YES"</formula>
    </cfRule>
  </conditionalFormatting>
  <conditionalFormatting sqref="N2:N256">
    <cfRule type="cellIs" dxfId="2" priority="5" operator="equal">
      <formula>"NO"</formula>
    </cfRule>
  </conditionalFormatting>
  <conditionalFormatting sqref="N2:N256">
    <cfRule type="cellIs" dxfId="1" priority="6" operator="equal">
      <formula>"YES"</formula>
    </cfRule>
  </conditionalFormatting>
  <conditionalFormatting sqref="T2">
    <cfRule type="notContainsBlanks" dxfId="0" priority="7">
      <formula>LEN(TRIM(T2))&gt;0</formula>
    </cfRule>
  </conditionalFormatting>
  <hyperlinks>
    <hyperlink ref="A120" r:id="rId1" display="https://docs.google.com/forms/d/1sdamcYaC8b3qgvHyBWHXHMZvWG9hYBlh9gx3e1mFYEM/viewform?entry.97229552=&amp;entry.73470703=&amp;entry.610927917=HYPERTENSION&amp;entry.251733383=&amp;entry.738369901=&amp;entry.336840860=NO"/>
    <hyperlink ref="A122" r:id="rId2" display="https://docs.google.com/forms/d/1sdamcYaC8b3qgvHyBWHXHMZvWG9hYBlh9gx3e1mFYEM/viewform?entry.97229552=J-130&amp;entry.73470703=&amp;entry.610927917=&amp;entry.251733383=&amp;entry.738369901=&amp;entry.336840860=NO"/>
    <hyperlink ref="A172" r:id="rId3" display="https://docs.google.com/forms/d/1sdamcYaC8b3qgvHyBWHXHMZvWG9hYBlh9gx3e1mFYEM/viewform?entry.97229552=OXF-200&amp;entry.73470703=&amp;entry.610927917=&amp;entry.251733383=&amp;entry.738369901=&amp;entry.336840860=NO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17" customWidth="1"/>
    <col min="4" max="4" width="36.85546875" customWidth="1"/>
  </cols>
  <sheetData>
    <row r="1" spans="1:12" ht="15.75" customHeight="1">
      <c r="A1" t="str">
        <f ca="1">IFERROR(__xludf.DUMMYFUNCTION("query(importrange(""1Q3xP2cWo0hVDvssa9OnVvxnpxjJiVMuvXLCikzTVwSk"",""Form Responses 1!A:K""), ""select * where Col2 = '"" &amp; INFO!B2 &amp; ""' order by Col1 desc"", 1)"),"Timestamp")</f>
        <v>Timestamp</v>
      </c>
      <c r="B1" t="s">
        <v>82</v>
      </c>
      <c r="C1" t="s">
        <v>1</v>
      </c>
      <c r="D1" t="s">
        <v>83</v>
      </c>
      <c r="E1" t="s">
        <v>84</v>
      </c>
      <c r="F1" t="s">
        <v>85</v>
      </c>
      <c r="G1" t="s">
        <v>3</v>
      </c>
      <c r="H1" t="s">
        <v>87</v>
      </c>
      <c r="I1" t="s">
        <v>6</v>
      </c>
      <c r="J1" t="s">
        <v>89</v>
      </c>
      <c r="K1" t="s">
        <v>5</v>
      </c>
      <c r="L1" s="17" t="str">
        <f t="array" ref="L1:L1000" ca="1">A1:A1000</f>
        <v>Timestamp</v>
      </c>
    </row>
    <row r="2" spans="1:12" ht="15.75" customHeight="1">
      <c r="L2">
        <v>0</v>
      </c>
    </row>
    <row r="3" spans="1:12" ht="15.75" customHeight="1">
      <c r="L3">
        <v>0</v>
      </c>
    </row>
    <row r="4" spans="1:12" ht="15.75" customHeight="1">
      <c r="L4">
        <v>0</v>
      </c>
    </row>
    <row r="5" spans="1:12" ht="15.75" customHeight="1">
      <c r="L5">
        <v>0</v>
      </c>
    </row>
    <row r="6" spans="1:12" ht="15.75" customHeight="1">
      <c r="L6">
        <v>0</v>
      </c>
    </row>
    <row r="7" spans="1:12" ht="15.75" customHeight="1">
      <c r="L7">
        <v>0</v>
      </c>
    </row>
    <row r="8" spans="1:12" ht="15.75" customHeight="1">
      <c r="L8">
        <v>0</v>
      </c>
    </row>
    <row r="9" spans="1:12" ht="15.75" customHeight="1">
      <c r="L9">
        <v>0</v>
      </c>
    </row>
    <row r="10" spans="1:12" ht="15.75" customHeight="1">
      <c r="L10">
        <v>0</v>
      </c>
    </row>
    <row r="11" spans="1:12" ht="15.75" customHeight="1">
      <c r="L11">
        <v>0</v>
      </c>
    </row>
    <row r="12" spans="1:12" ht="15.75" customHeight="1">
      <c r="L12">
        <v>0</v>
      </c>
    </row>
    <row r="13" spans="1:12" ht="15.75" customHeight="1">
      <c r="L13">
        <v>0</v>
      </c>
    </row>
    <row r="14" spans="1:12" ht="15.75" customHeight="1">
      <c r="L14">
        <v>0</v>
      </c>
    </row>
    <row r="15" spans="1:12" ht="15.75" customHeight="1">
      <c r="L15">
        <v>0</v>
      </c>
    </row>
    <row r="16" spans="1:12" ht="15.75" customHeight="1">
      <c r="L16">
        <v>0</v>
      </c>
    </row>
    <row r="17" spans="12:12" ht="15.75" customHeight="1">
      <c r="L17">
        <v>0</v>
      </c>
    </row>
    <row r="18" spans="12:12" ht="15.75" customHeight="1">
      <c r="L18">
        <v>0</v>
      </c>
    </row>
    <row r="19" spans="12:12" ht="15.75" customHeight="1">
      <c r="L19">
        <v>0</v>
      </c>
    </row>
    <row r="20" spans="12:12" ht="15.75" customHeight="1">
      <c r="L20">
        <v>0</v>
      </c>
    </row>
    <row r="21" spans="12:12" ht="15.75" customHeight="1">
      <c r="L21">
        <v>0</v>
      </c>
    </row>
    <row r="22" spans="12:12" ht="15.75" customHeight="1">
      <c r="L22">
        <v>0</v>
      </c>
    </row>
    <row r="23" spans="12:12" ht="15.75" customHeight="1">
      <c r="L23">
        <v>0</v>
      </c>
    </row>
    <row r="24" spans="12:12" ht="15.75" customHeight="1">
      <c r="L24">
        <v>0</v>
      </c>
    </row>
    <row r="25" spans="12:12" ht="15.75" customHeight="1">
      <c r="L25">
        <v>0</v>
      </c>
    </row>
    <row r="26" spans="12:12" ht="15.75" customHeight="1">
      <c r="L26">
        <v>0</v>
      </c>
    </row>
    <row r="27" spans="12:12" ht="15.75" customHeight="1">
      <c r="L27">
        <v>0</v>
      </c>
    </row>
    <row r="28" spans="12:12" ht="15.75" customHeight="1">
      <c r="L28">
        <v>0</v>
      </c>
    </row>
    <row r="29" spans="12:12" ht="15.75" customHeight="1">
      <c r="L29">
        <v>0</v>
      </c>
    </row>
    <row r="30" spans="12:12" ht="15.75" customHeight="1">
      <c r="L30">
        <v>0</v>
      </c>
    </row>
    <row r="31" spans="12:12" ht="15.75" customHeight="1">
      <c r="L31">
        <v>0</v>
      </c>
    </row>
    <row r="32" spans="12:12" ht="15.75" customHeight="1">
      <c r="L32">
        <v>0</v>
      </c>
    </row>
    <row r="33" spans="12:12" ht="15.75" customHeight="1">
      <c r="L33">
        <v>0</v>
      </c>
    </row>
    <row r="34" spans="12:12" ht="15.75" customHeight="1">
      <c r="L34">
        <v>0</v>
      </c>
    </row>
    <row r="35" spans="12:12" ht="15.75" customHeight="1">
      <c r="L35">
        <v>0</v>
      </c>
    </row>
    <row r="36" spans="12:12" ht="15.75" customHeight="1">
      <c r="L36">
        <v>0</v>
      </c>
    </row>
    <row r="37" spans="12:12" ht="15.75" customHeight="1">
      <c r="L37">
        <v>0</v>
      </c>
    </row>
    <row r="38" spans="12:12" ht="15.75" customHeight="1">
      <c r="L38">
        <v>0</v>
      </c>
    </row>
    <row r="39" spans="12:12" ht="15.75" customHeight="1">
      <c r="L39">
        <v>0</v>
      </c>
    </row>
    <row r="40" spans="12:12" ht="15.75" customHeight="1">
      <c r="L40">
        <v>0</v>
      </c>
    </row>
    <row r="41" spans="12:12" ht="15.75" customHeight="1">
      <c r="L41">
        <v>0</v>
      </c>
    </row>
    <row r="42" spans="12:12" ht="15.75" customHeight="1">
      <c r="L42">
        <v>0</v>
      </c>
    </row>
    <row r="43" spans="12:12" ht="15.75" customHeight="1">
      <c r="L43">
        <v>0</v>
      </c>
    </row>
    <row r="44" spans="12:12" ht="15.75" customHeight="1">
      <c r="L44">
        <v>0</v>
      </c>
    </row>
    <row r="45" spans="12:12" ht="15.75" customHeight="1">
      <c r="L45">
        <v>0</v>
      </c>
    </row>
    <row r="46" spans="12:12" ht="15.75" customHeight="1">
      <c r="L46">
        <v>0</v>
      </c>
    </row>
    <row r="47" spans="12:12" ht="15.75" customHeight="1">
      <c r="L47">
        <v>0</v>
      </c>
    </row>
    <row r="48" spans="12:12" ht="15.75" customHeight="1">
      <c r="L48">
        <v>0</v>
      </c>
    </row>
    <row r="49" spans="12:12" ht="15.75" customHeight="1">
      <c r="L49">
        <v>0</v>
      </c>
    </row>
    <row r="50" spans="12:12" ht="15.75" customHeight="1">
      <c r="L50">
        <v>0</v>
      </c>
    </row>
    <row r="51" spans="12:12" ht="15.75" customHeight="1">
      <c r="L51">
        <v>0</v>
      </c>
    </row>
    <row r="52" spans="12:12" ht="15.75" customHeight="1">
      <c r="L52">
        <v>0</v>
      </c>
    </row>
    <row r="53" spans="12:12" ht="15.75" customHeight="1">
      <c r="L53">
        <v>0</v>
      </c>
    </row>
    <row r="54" spans="12:12" ht="15.75" customHeight="1">
      <c r="L54">
        <v>0</v>
      </c>
    </row>
    <row r="55" spans="12:12" ht="15.75" customHeight="1">
      <c r="L55">
        <v>0</v>
      </c>
    </row>
    <row r="56" spans="12:12" ht="15.75" customHeight="1">
      <c r="L56">
        <v>0</v>
      </c>
    </row>
    <row r="57" spans="12:12" ht="15.75" customHeight="1">
      <c r="L57">
        <v>0</v>
      </c>
    </row>
    <row r="58" spans="12:12" ht="15.75" customHeight="1">
      <c r="L58">
        <v>0</v>
      </c>
    </row>
    <row r="59" spans="12:12" ht="15.75" customHeight="1">
      <c r="L59">
        <v>0</v>
      </c>
    </row>
    <row r="60" spans="12:12" ht="15.75" customHeight="1">
      <c r="L60">
        <v>0</v>
      </c>
    </row>
    <row r="61" spans="12:12" ht="15.75" customHeight="1">
      <c r="L61">
        <v>0</v>
      </c>
    </row>
    <row r="62" spans="12:12" ht="15.75" customHeight="1">
      <c r="L62">
        <v>0</v>
      </c>
    </row>
    <row r="63" spans="12:12" ht="15.75" customHeight="1">
      <c r="L63">
        <v>0</v>
      </c>
    </row>
    <row r="64" spans="12:12" ht="15.75" customHeight="1">
      <c r="L64">
        <v>0</v>
      </c>
    </row>
    <row r="65" spans="12:12" ht="15.75" customHeight="1">
      <c r="L65">
        <v>0</v>
      </c>
    </row>
    <row r="66" spans="12:12" ht="15.75" customHeight="1">
      <c r="L66">
        <v>0</v>
      </c>
    </row>
    <row r="67" spans="12:12" ht="15.75" customHeight="1">
      <c r="L67">
        <v>0</v>
      </c>
    </row>
    <row r="68" spans="12:12" ht="15.75" customHeight="1">
      <c r="L68">
        <v>0</v>
      </c>
    </row>
    <row r="69" spans="12:12" ht="15.75" customHeight="1">
      <c r="L69">
        <v>0</v>
      </c>
    </row>
    <row r="70" spans="12:12" ht="15.75" customHeight="1">
      <c r="L70">
        <v>0</v>
      </c>
    </row>
    <row r="71" spans="12:12" ht="15.75" customHeight="1">
      <c r="L71">
        <v>0</v>
      </c>
    </row>
    <row r="72" spans="12:12" ht="15.75" customHeight="1">
      <c r="L72">
        <v>0</v>
      </c>
    </row>
    <row r="73" spans="12:12" ht="15.75" customHeight="1">
      <c r="L73">
        <v>0</v>
      </c>
    </row>
    <row r="74" spans="12:12" ht="15.75" customHeight="1">
      <c r="L74">
        <v>0</v>
      </c>
    </row>
    <row r="75" spans="12:12" ht="15.75" customHeight="1">
      <c r="L75">
        <v>0</v>
      </c>
    </row>
    <row r="76" spans="12:12" ht="15.75" customHeight="1">
      <c r="L76">
        <v>0</v>
      </c>
    </row>
    <row r="77" spans="12:12" ht="15.75" customHeight="1">
      <c r="L77">
        <v>0</v>
      </c>
    </row>
    <row r="78" spans="12:12" ht="15.75" customHeight="1">
      <c r="L78">
        <v>0</v>
      </c>
    </row>
    <row r="79" spans="12:12" ht="15.75" customHeight="1">
      <c r="L79">
        <v>0</v>
      </c>
    </row>
    <row r="80" spans="12:12" ht="15.75" customHeight="1">
      <c r="L80">
        <v>0</v>
      </c>
    </row>
    <row r="81" spans="12:12" ht="15.75" customHeight="1">
      <c r="L81">
        <v>0</v>
      </c>
    </row>
    <row r="82" spans="12:12" ht="15.75" customHeight="1">
      <c r="L82">
        <v>0</v>
      </c>
    </row>
    <row r="83" spans="12:12" ht="15.75" customHeight="1">
      <c r="L83">
        <v>0</v>
      </c>
    </row>
    <row r="84" spans="12:12" ht="15.75" customHeight="1">
      <c r="L84">
        <v>0</v>
      </c>
    </row>
    <row r="85" spans="12:12" ht="15.75" customHeight="1">
      <c r="L85">
        <v>0</v>
      </c>
    </row>
    <row r="86" spans="12:12" ht="15.75" customHeight="1">
      <c r="L86">
        <v>0</v>
      </c>
    </row>
    <row r="87" spans="12:12" ht="15.75" customHeight="1">
      <c r="L87">
        <v>0</v>
      </c>
    </row>
    <row r="88" spans="12:12" ht="15.75" customHeight="1">
      <c r="L88">
        <v>0</v>
      </c>
    </row>
    <row r="89" spans="12:12" ht="15.75" customHeight="1">
      <c r="L89">
        <v>0</v>
      </c>
    </row>
    <row r="90" spans="12:12" ht="15.75" customHeight="1">
      <c r="L90">
        <v>0</v>
      </c>
    </row>
    <row r="91" spans="12:12" ht="15.75" customHeight="1">
      <c r="L91">
        <v>0</v>
      </c>
    </row>
    <row r="92" spans="12:12" ht="15.75" customHeight="1">
      <c r="L92">
        <v>0</v>
      </c>
    </row>
    <row r="93" spans="12:12" ht="15.75" customHeight="1">
      <c r="L93">
        <v>0</v>
      </c>
    </row>
    <row r="94" spans="12:12" ht="15.75" customHeight="1">
      <c r="L94">
        <v>0</v>
      </c>
    </row>
    <row r="95" spans="12:12" ht="15.75" customHeight="1">
      <c r="L95">
        <v>0</v>
      </c>
    </row>
    <row r="96" spans="12:12" ht="15.75" customHeight="1">
      <c r="L96">
        <v>0</v>
      </c>
    </row>
    <row r="97" spans="12:12" ht="15.75" customHeight="1">
      <c r="L97">
        <v>0</v>
      </c>
    </row>
    <row r="98" spans="12:12" ht="15.75" customHeight="1">
      <c r="L98">
        <v>0</v>
      </c>
    </row>
    <row r="99" spans="12:12" ht="15.75" customHeight="1">
      <c r="L99">
        <v>0</v>
      </c>
    </row>
    <row r="100" spans="12:12" ht="15.75" customHeight="1">
      <c r="L100">
        <v>0</v>
      </c>
    </row>
    <row r="101" spans="12:12" ht="15.75" customHeight="1">
      <c r="L101">
        <v>0</v>
      </c>
    </row>
    <row r="102" spans="12:12" ht="15.75" customHeight="1">
      <c r="L102">
        <v>0</v>
      </c>
    </row>
    <row r="103" spans="12:12" ht="15.75" customHeight="1">
      <c r="L103">
        <v>0</v>
      </c>
    </row>
    <row r="104" spans="12:12" ht="15.75" customHeight="1">
      <c r="L104">
        <v>0</v>
      </c>
    </row>
    <row r="105" spans="12:12" ht="15.75" customHeight="1">
      <c r="L105">
        <v>0</v>
      </c>
    </row>
    <row r="106" spans="12:12" ht="15.75" customHeight="1">
      <c r="L106">
        <v>0</v>
      </c>
    </row>
    <row r="107" spans="12:12" ht="15.75" customHeight="1">
      <c r="L107">
        <v>0</v>
      </c>
    </row>
    <row r="108" spans="12:12" ht="15.75" customHeight="1">
      <c r="L108">
        <v>0</v>
      </c>
    </row>
    <row r="109" spans="12:12" ht="15.75" customHeight="1">
      <c r="L109">
        <v>0</v>
      </c>
    </row>
    <row r="110" spans="12:12" ht="15.75" customHeight="1">
      <c r="L110">
        <v>0</v>
      </c>
    </row>
    <row r="111" spans="12:12" ht="15.75" customHeight="1">
      <c r="L111">
        <v>0</v>
      </c>
    </row>
    <row r="112" spans="12:12" ht="15.75" customHeight="1">
      <c r="L112">
        <v>0</v>
      </c>
    </row>
    <row r="113" spans="12:12" ht="15.75" customHeight="1">
      <c r="L113">
        <v>0</v>
      </c>
    </row>
    <row r="114" spans="12:12" ht="15.75" customHeight="1">
      <c r="L114">
        <v>0</v>
      </c>
    </row>
    <row r="115" spans="12:12" ht="15.75" customHeight="1">
      <c r="L115">
        <v>0</v>
      </c>
    </row>
    <row r="116" spans="12:12" ht="15.75" customHeight="1">
      <c r="L116">
        <v>0</v>
      </c>
    </row>
    <row r="117" spans="12:12" ht="15.75" customHeight="1">
      <c r="L117">
        <v>0</v>
      </c>
    </row>
    <row r="118" spans="12:12" ht="15.75" customHeight="1">
      <c r="L118">
        <v>0</v>
      </c>
    </row>
    <row r="119" spans="12:12" ht="15.75" customHeight="1">
      <c r="L119">
        <v>0</v>
      </c>
    </row>
    <row r="120" spans="12:12" ht="15.75" customHeight="1">
      <c r="L120">
        <v>0</v>
      </c>
    </row>
    <row r="121" spans="12:12" ht="15.75" customHeight="1">
      <c r="L121">
        <v>0</v>
      </c>
    </row>
    <row r="122" spans="12:12" ht="15.75" customHeight="1">
      <c r="L122">
        <v>0</v>
      </c>
    </row>
    <row r="123" spans="12:12" ht="15.75" customHeight="1">
      <c r="L123">
        <v>0</v>
      </c>
    </row>
    <row r="124" spans="12:12" ht="15.75" customHeight="1">
      <c r="L124">
        <v>0</v>
      </c>
    </row>
    <row r="125" spans="12:12" ht="15.75" customHeight="1">
      <c r="L125">
        <v>0</v>
      </c>
    </row>
    <row r="126" spans="12:12" ht="15.75" customHeight="1">
      <c r="L126">
        <v>0</v>
      </c>
    </row>
    <row r="127" spans="12:12" ht="15.75" customHeight="1">
      <c r="L127">
        <v>0</v>
      </c>
    </row>
    <row r="128" spans="12:12" ht="15.75" customHeight="1">
      <c r="L128">
        <v>0</v>
      </c>
    </row>
    <row r="129" spans="12:12" ht="15.75" customHeight="1">
      <c r="L129">
        <v>0</v>
      </c>
    </row>
    <row r="130" spans="12:12" ht="15.75" customHeight="1">
      <c r="L130">
        <v>0</v>
      </c>
    </row>
    <row r="131" spans="12:12" ht="15.75" customHeight="1">
      <c r="L131">
        <v>0</v>
      </c>
    </row>
    <row r="132" spans="12:12" ht="15.75" customHeight="1">
      <c r="L132">
        <v>0</v>
      </c>
    </row>
    <row r="133" spans="12:12" ht="15.75" customHeight="1">
      <c r="L133">
        <v>0</v>
      </c>
    </row>
    <row r="134" spans="12:12" ht="15.75" customHeight="1">
      <c r="L134">
        <v>0</v>
      </c>
    </row>
    <row r="135" spans="12:12" ht="15.75" customHeight="1">
      <c r="L135">
        <v>0</v>
      </c>
    </row>
    <row r="136" spans="12:12" ht="15.75" customHeight="1">
      <c r="L136">
        <v>0</v>
      </c>
    </row>
    <row r="137" spans="12:12" ht="15.75" customHeight="1">
      <c r="L137">
        <v>0</v>
      </c>
    </row>
    <row r="138" spans="12:12" ht="15.75" customHeight="1">
      <c r="L138">
        <v>0</v>
      </c>
    </row>
    <row r="139" spans="12:12" ht="15.75" customHeight="1">
      <c r="L139">
        <v>0</v>
      </c>
    </row>
    <row r="140" spans="12:12" ht="15.75" customHeight="1">
      <c r="L140">
        <v>0</v>
      </c>
    </row>
    <row r="141" spans="12:12" ht="15.75" customHeight="1">
      <c r="L141">
        <v>0</v>
      </c>
    </row>
    <row r="142" spans="12:12" ht="15.75" customHeight="1">
      <c r="L142">
        <v>0</v>
      </c>
    </row>
    <row r="143" spans="12:12" ht="15.75" customHeight="1">
      <c r="L143">
        <v>0</v>
      </c>
    </row>
    <row r="144" spans="12:12" ht="15.75" customHeight="1">
      <c r="L144">
        <v>0</v>
      </c>
    </row>
    <row r="145" spans="12:12" ht="15.75" customHeight="1">
      <c r="L145">
        <v>0</v>
      </c>
    </row>
    <row r="146" spans="12:12" ht="15.75" customHeight="1">
      <c r="L146">
        <v>0</v>
      </c>
    </row>
    <row r="147" spans="12:12" ht="15.75" customHeight="1">
      <c r="L147">
        <v>0</v>
      </c>
    </row>
    <row r="148" spans="12:12" ht="15.75" customHeight="1">
      <c r="L148">
        <v>0</v>
      </c>
    </row>
    <row r="149" spans="12:12" ht="15.75" customHeight="1">
      <c r="L149">
        <v>0</v>
      </c>
    </row>
    <row r="150" spans="12:12" ht="15.75" customHeight="1">
      <c r="L150">
        <v>0</v>
      </c>
    </row>
    <row r="151" spans="12:12" ht="15.75" customHeight="1">
      <c r="L151">
        <v>0</v>
      </c>
    </row>
    <row r="152" spans="12:12" ht="15.75" customHeight="1">
      <c r="L152">
        <v>0</v>
      </c>
    </row>
    <row r="153" spans="12:12" ht="15.75" customHeight="1">
      <c r="L153">
        <v>0</v>
      </c>
    </row>
    <row r="154" spans="12:12" ht="15.75" customHeight="1">
      <c r="L154">
        <v>0</v>
      </c>
    </row>
    <row r="155" spans="12:12" ht="15.75" customHeight="1">
      <c r="L155">
        <v>0</v>
      </c>
    </row>
    <row r="156" spans="12:12" ht="15.75" customHeight="1">
      <c r="L156">
        <v>0</v>
      </c>
    </row>
    <row r="157" spans="12:12" ht="15.75" customHeight="1">
      <c r="L157">
        <v>0</v>
      </c>
    </row>
    <row r="158" spans="12:12" ht="15.75" customHeight="1">
      <c r="L158">
        <v>0</v>
      </c>
    </row>
    <row r="159" spans="12:12" ht="15.75" customHeight="1">
      <c r="L159">
        <v>0</v>
      </c>
    </row>
    <row r="160" spans="12:12" ht="15.75" customHeight="1">
      <c r="L160">
        <v>0</v>
      </c>
    </row>
    <row r="161" spans="12:12" ht="15.75" customHeight="1">
      <c r="L161">
        <v>0</v>
      </c>
    </row>
    <row r="162" spans="12:12" ht="15.75" customHeight="1">
      <c r="L162">
        <v>0</v>
      </c>
    </row>
    <row r="163" spans="12:12" ht="15.75" customHeight="1">
      <c r="L163">
        <v>0</v>
      </c>
    </row>
    <row r="164" spans="12:12" ht="15.75" customHeight="1">
      <c r="L164">
        <v>0</v>
      </c>
    </row>
    <row r="165" spans="12:12" ht="15.75" customHeight="1">
      <c r="L165">
        <v>0</v>
      </c>
    </row>
    <row r="166" spans="12:12" ht="15.75" customHeight="1">
      <c r="L166">
        <v>0</v>
      </c>
    </row>
    <row r="167" spans="12:12" ht="15.75" customHeight="1">
      <c r="L167">
        <v>0</v>
      </c>
    </row>
    <row r="168" spans="12:12" ht="15.75" customHeight="1">
      <c r="L168">
        <v>0</v>
      </c>
    </row>
    <row r="169" spans="12:12" ht="15.75" customHeight="1">
      <c r="L169">
        <v>0</v>
      </c>
    </row>
    <row r="170" spans="12:12" ht="15.75" customHeight="1">
      <c r="L170">
        <v>0</v>
      </c>
    </row>
    <row r="171" spans="12:12" ht="15.75" customHeight="1">
      <c r="L171">
        <v>0</v>
      </c>
    </row>
    <row r="172" spans="12:12" ht="15.75" customHeight="1">
      <c r="L172">
        <v>0</v>
      </c>
    </row>
    <row r="173" spans="12:12" ht="15.75" customHeight="1">
      <c r="L173">
        <v>0</v>
      </c>
    </row>
    <row r="174" spans="12:12" ht="15.75" customHeight="1">
      <c r="L174">
        <v>0</v>
      </c>
    </row>
    <row r="175" spans="12:12" ht="15.75" customHeight="1">
      <c r="L175">
        <v>0</v>
      </c>
    </row>
    <row r="176" spans="12:12" ht="15.75" customHeight="1">
      <c r="L176">
        <v>0</v>
      </c>
    </row>
    <row r="177" spans="12:12" ht="15.75" customHeight="1">
      <c r="L177">
        <v>0</v>
      </c>
    </row>
    <row r="178" spans="12:12" ht="15.75" customHeight="1">
      <c r="L178">
        <v>0</v>
      </c>
    </row>
    <row r="179" spans="12:12" ht="15.75" customHeight="1">
      <c r="L179">
        <v>0</v>
      </c>
    </row>
    <row r="180" spans="12:12" ht="15.75" customHeight="1">
      <c r="L180">
        <v>0</v>
      </c>
    </row>
    <row r="181" spans="12:12" ht="15.75" customHeight="1">
      <c r="L181">
        <v>0</v>
      </c>
    </row>
    <row r="182" spans="12:12" ht="15.75" customHeight="1">
      <c r="L182">
        <v>0</v>
      </c>
    </row>
    <row r="183" spans="12:12" ht="15.75" customHeight="1">
      <c r="L183">
        <v>0</v>
      </c>
    </row>
    <row r="184" spans="12:12" ht="15.75" customHeight="1">
      <c r="L184">
        <v>0</v>
      </c>
    </row>
    <row r="185" spans="12:12" ht="15.75" customHeight="1">
      <c r="L185">
        <v>0</v>
      </c>
    </row>
    <row r="186" spans="12:12" ht="15.75" customHeight="1">
      <c r="L186">
        <v>0</v>
      </c>
    </row>
    <row r="187" spans="12:12" ht="15.75" customHeight="1">
      <c r="L187">
        <v>0</v>
      </c>
    </row>
    <row r="188" spans="12:12" ht="15.75" customHeight="1">
      <c r="L188">
        <v>0</v>
      </c>
    </row>
    <row r="189" spans="12:12" ht="15.75" customHeight="1">
      <c r="L189">
        <v>0</v>
      </c>
    </row>
    <row r="190" spans="12:12" ht="15.75" customHeight="1">
      <c r="L190">
        <v>0</v>
      </c>
    </row>
    <row r="191" spans="12:12" ht="15.75" customHeight="1">
      <c r="L191">
        <v>0</v>
      </c>
    </row>
    <row r="192" spans="12:12" ht="15.75" customHeight="1">
      <c r="L192">
        <v>0</v>
      </c>
    </row>
    <row r="193" spans="12:12" ht="15.75" customHeight="1">
      <c r="L193">
        <v>0</v>
      </c>
    </row>
    <row r="194" spans="12:12" ht="15.75" customHeight="1">
      <c r="L194">
        <v>0</v>
      </c>
    </row>
    <row r="195" spans="12:12" ht="15.75" customHeight="1">
      <c r="L195">
        <v>0</v>
      </c>
    </row>
    <row r="196" spans="12:12" ht="15.75" customHeight="1">
      <c r="L196">
        <v>0</v>
      </c>
    </row>
    <row r="197" spans="12:12" ht="15.75" customHeight="1">
      <c r="L197">
        <v>0</v>
      </c>
    </row>
    <row r="198" spans="12:12" ht="15.75" customHeight="1">
      <c r="L198">
        <v>0</v>
      </c>
    </row>
    <row r="199" spans="12:12" ht="15.75" customHeight="1">
      <c r="L199">
        <v>0</v>
      </c>
    </row>
    <row r="200" spans="12:12" ht="15.75" customHeight="1">
      <c r="L200">
        <v>0</v>
      </c>
    </row>
    <row r="201" spans="12:12" ht="15.75" customHeight="1">
      <c r="L201">
        <v>0</v>
      </c>
    </row>
    <row r="202" spans="12:12" ht="15.75" customHeight="1">
      <c r="L202">
        <v>0</v>
      </c>
    </row>
    <row r="203" spans="12:12" ht="15.75" customHeight="1">
      <c r="L203">
        <v>0</v>
      </c>
    </row>
    <row r="204" spans="12:12" ht="15.75" customHeight="1">
      <c r="L204">
        <v>0</v>
      </c>
    </row>
    <row r="205" spans="12:12" ht="15.75" customHeight="1">
      <c r="L205">
        <v>0</v>
      </c>
    </row>
    <row r="206" spans="12:12" ht="15.75" customHeight="1">
      <c r="L206">
        <v>0</v>
      </c>
    </row>
    <row r="207" spans="12:12" ht="15.75" customHeight="1">
      <c r="L207">
        <v>0</v>
      </c>
    </row>
    <row r="208" spans="12:12" ht="15.75" customHeight="1">
      <c r="L208">
        <v>0</v>
      </c>
    </row>
    <row r="209" spans="12:12" ht="15.75" customHeight="1">
      <c r="L209">
        <v>0</v>
      </c>
    </row>
    <row r="210" spans="12:12" ht="15.75" customHeight="1">
      <c r="L210">
        <v>0</v>
      </c>
    </row>
    <row r="211" spans="12:12" ht="15.75" customHeight="1">
      <c r="L211">
        <v>0</v>
      </c>
    </row>
    <row r="212" spans="12:12" ht="15.75" customHeight="1">
      <c r="L212">
        <v>0</v>
      </c>
    </row>
    <row r="213" spans="12:12" ht="15.75" customHeight="1">
      <c r="L213">
        <v>0</v>
      </c>
    </row>
    <row r="214" spans="12:12" ht="15.75" customHeight="1">
      <c r="L214">
        <v>0</v>
      </c>
    </row>
    <row r="215" spans="12:12" ht="15.75" customHeight="1">
      <c r="L215">
        <v>0</v>
      </c>
    </row>
    <row r="216" spans="12:12" ht="15.75" customHeight="1">
      <c r="L216">
        <v>0</v>
      </c>
    </row>
    <row r="217" spans="12:12" ht="15.75" customHeight="1">
      <c r="L217">
        <v>0</v>
      </c>
    </row>
    <row r="218" spans="12:12" ht="15.75" customHeight="1">
      <c r="L218">
        <v>0</v>
      </c>
    </row>
    <row r="219" spans="12:12" ht="15.75" customHeight="1">
      <c r="L219">
        <v>0</v>
      </c>
    </row>
    <row r="220" spans="12:12" ht="15.75" customHeight="1">
      <c r="L220">
        <v>0</v>
      </c>
    </row>
    <row r="221" spans="12:12" ht="15.75" customHeight="1">
      <c r="L221">
        <v>0</v>
      </c>
    </row>
    <row r="222" spans="12:12" ht="15.75" customHeight="1">
      <c r="L222">
        <v>0</v>
      </c>
    </row>
    <row r="223" spans="12:12" ht="15.75" customHeight="1">
      <c r="L223">
        <v>0</v>
      </c>
    </row>
    <row r="224" spans="12:12" ht="15.75" customHeight="1">
      <c r="L224">
        <v>0</v>
      </c>
    </row>
    <row r="225" spans="12:12" ht="15.75" customHeight="1">
      <c r="L225">
        <v>0</v>
      </c>
    </row>
    <row r="226" spans="12:12" ht="15.75" customHeight="1">
      <c r="L226">
        <v>0</v>
      </c>
    </row>
    <row r="227" spans="12:12" ht="15.75" customHeight="1">
      <c r="L227">
        <v>0</v>
      </c>
    </row>
    <row r="228" spans="12:12" ht="15.75" customHeight="1">
      <c r="L228">
        <v>0</v>
      </c>
    </row>
    <row r="229" spans="12:12" ht="15.75" customHeight="1">
      <c r="L229">
        <v>0</v>
      </c>
    </row>
    <row r="230" spans="12:12" ht="15.75" customHeight="1">
      <c r="L230">
        <v>0</v>
      </c>
    </row>
    <row r="231" spans="12:12" ht="15.75" customHeight="1">
      <c r="L231">
        <v>0</v>
      </c>
    </row>
    <row r="232" spans="12:12" ht="15.75" customHeight="1">
      <c r="L232">
        <v>0</v>
      </c>
    </row>
    <row r="233" spans="12:12" ht="15.75" customHeight="1">
      <c r="L233">
        <v>0</v>
      </c>
    </row>
    <row r="234" spans="12:12" ht="15.75" customHeight="1">
      <c r="L234">
        <v>0</v>
      </c>
    </row>
    <row r="235" spans="12:12" ht="15.75" customHeight="1">
      <c r="L235">
        <v>0</v>
      </c>
    </row>
    <row r="236" spans="12:12" ht="15.75" customHeight="1">
      <c r="L236">
        <v>0</v>
      </c>
    </row>
    <row r="237" spans="12:12" ht="15.75" customHeight="1">
      <c r="L237">
        <v>0</v>
      </c>
    </row>
    <row r="238" spans="12:12" ht="15.75" customHeight="1">
      <c r="L238">
        <v>0</v>
      </c>
    </row>
    <row r="239" spans="12:12" ht="15.75" customHeight="1">
      <c r="L239">
        <v>0</v>
      </c>
    </row>
    <row r="240" spans="12:12" ht="15.75" customHeight="1">
      <c r="L240">
        <v>0</v>
      </c>
    </row>
    <row r="241" spans="12:12" ht="15.75" customHeight="1">
      <c r="L241">
        <v>0</v>
      </c>
    </row>
    <row r="242" spans="12:12" ht="15.75" customHeight="1">
      <c r="L242">
        <v>0</v>
      </c>
    </row>
    <row r="243" spans="12:12" ht="15.75" customHeight="1">
      <c r="L243">
        <v>0</v>
      </c>
    </row>
    <row r="244" spans="12:12" ht="15.75" customHeight="1">
      <c r="L244">
        <v>0</v>
      </c>
    </row>
    <row r="245" spans="12:12" ht="15.75" customHeight="1">
      <c r="L245">
        <v>0</v>
      </c>
    </row>
    <row r="246" spans="12:12" ht="15.75" customHeight="1">
      <c r="L246">
        <v>0</v>
      </c>
    </row>
    <row r="247" spans="12:12" ht="15.75" customHeight="1">
      <c r="L247">
        <v>0</v>
      </c>
    </row>
    <row r="248" spans="12:12" ht="15.75" customHeight="1">
      <c r="L248">
        <v>0</v>
      </c>
    </row>
    <row r="249" spans="12:12" ht="15.75" customHeight="1">
      <c r="L249">
        <v>0</v>
      </c>
    </row>
    <row r="250" spans="12:12" ht="15.75" customHeight="1">
      <c r="L250">
        <v>0</v>
      </c>
    </row>
    <row r="251" spans="12:12" ht="15.75" customHeight="1">
      <c r="L251">
        <v>0</v>
      </c>
    </row>
    <row r="252" spans="12:12" ht="15.75" customHeight="1">
      <c r="L252">
        <v>0</v>
      </c>
    </row>
    <row r="253" spans="12:12" ht="15.75" customHeight="1">
      <c r="L253">
        <v>0</v>
      </c>
    </row>
    <row r="254" spans="12:12" ht="15.75" customHeight="1">
      <c r="L254">
        <v>0</v>
      </c>
    </row>
    <row r="255" spans="12:12" ht="15.75" customHeight="1">
      <c r="L255">
        <v>0</v>
      </c>
    </row>
    <row r="256" spans="12:12" ht="15.75" customHeight="1">
      <c r="L256">
        <v>0</v>
      </c>
    </row>
    <row r="257" spans="12:12" ht="15.75" customHeight="1">
      <c r="L257">
        <v>0</v>
      </c>
    </row>
    <row r="258" spans="12:12" ht="15.75" customHeight="1">
      <c r="L258">
        <v>0</v>
      </c>
    </row>
    <row r="259" spans="12:12" ht="15.75" customHeight="1">
      <c r="L259">
        <v>0</v>
      </c>
    </row>
    <row r="260" spans="12:12" ht="15.75" customHeight="1">
      <c r="L260">
        <v>0</v>
      </c>
    </row>
    <row r="261" spans="12:12" ht="15.75" customHeight="1">
      <c r="L261">
        <v>0</v>
      </c>
    </row>
    <row r="262" spans="12:12" ht="15.75" customHeight="1">
      <c r="L262">
        <v>0</v>
      </c>
    </row>
    <row r="263" spans="12:12" ht="15.75" customHeight="1">
      <c r="L263">
        <v>0</v>
      </c>
    </row>
    <row r="264" spans="12:12" ht="15.75" customHeight="1">
      <c r="L264">
        <v>0</v>
      </c>
    </row>
    <row r="265" spans="12:12" ht="15.75" customHeight="1">
      <c r="L265">
        <v>0</v>
      </c>
    </row>
    <row r="266" spans="12:12" ht="15.75" customHeight="1">
      <c r="L266">
        <v>0</v>
      </c>
    </row>
    <row r="267" spans="12:12" ht="15.75" customHeight="1">
      <c r="L267">
        <v>0</v>
      </c>
    </row>
    <row r="268" spans="12:12" ht="15.75" customHeight="1">
      <c r="L268">
        <v>0</v>
      </c>
    </row>
    <row r="269" spans="12:12" ht="15.75" customHeight="1">
      <c r="L269">
        <v>0</v>
      </c>
    </row>
    <row r="270" spans="12:12" ht="15.75" customHeight="1">
      <c r="L270">
        <v>0</v>
      </c>
    </row>
    <row r="271" spans="12:12" ht="15.75" customHeight="1">
      <c r="L271">
        <v>0</v>
      </c>
    </row>
    <row r="272" spans="12:12" ht="15.75" customHeight="1">
      <c r="L272">
        <v>0</v>
      </c>
    </row>
    <row r="273" spans="12:12" ht="15.75" customHeight="1">
      <c r="L273">
        <v>0</v>
      </c>
    </row>
    <row r="274" spans="12:12" ht="15.75" customHeight="1">
      <c r="L274">
        <v>0</v>
      </c>
    </row>
    <row r="275" spans="12:12" ht="15.75" customHeight="1">
      <c r="L275">
        <v>0</v>
      </c>
    </row>
    <row r="276" spans="12:12" ht="15.75" customHeight="1">
      <c r="L276">
        <v>0</v>
      </c>
    </row>
    <row r="277" spans="12:12" ht="15.75" customHeight="1">
      <c r="L277">
        <v>0</v>
      </c>
    </row>
    <row r="278" spans="12:12" ht="15.75" customHeight="1">
      <c r="L278">
        <v>0</v>
      </c>
    </row>
    <row r="279" spans="12:12" ht="15.75" customHeight="1">
      <c r="L279">
        <v>0</v>
      </c>
    </row>
    <row r="280" spans="12:12" ht="15.75" customHeight="1">
      <c r="L280">
        <v>0</v>
      </c>
    </row>
    <row r="281" spans="12:12" ht="15.75" customHeight="1">
      <c r="L281">
        <v>0</v>
      </c>
    </row>
    <row r="282" spans="12:12" ht="15.75" customHeight="1">
      <c r="L282">
        <v>0</v>
      </c>
    </row>
    <row r="283" spans="12:12" ht="15.75" customHeight="1">
      <c r="L283">
        <v>0</v>
      </c>
    </row>
    <row r="284" spans="12:12" ht="15.75" customHeight="1">
      <c r="L284">
        <v>0</v>
      </c>
    </row>
    <row r="285" spans="12:12" ht="15.75" customHeight="1">
      <c r="L285">
        <v>0</v>
      </c>
    </row>
    <row r="286" spans="12:12" ht="15.75" customHeight="1">
      <c r="L286">
        <v>0</v>
      </c>
    </row>
    <row r="287" spans="12:12" ht="15.75" customHeight="1">
      <c r="L287">
        <v>0</v>
      </c>
    </row>
    <row r="288" spans="12:12" ht="15.75" customHeight="1">
      <c r="L288">
        <v>0</v>
      </c>
    </row>
    <row r="289" spans="12:12" ht="15.75" customHeight="1">
      <c r="L289">
        <v>0</v>
      </c>
    </row>
    <row r="290" spans="12:12" ht="15.75" customHeight="1">
      <c r="L290">
        <v>0</v>
      </c>
    </row>
    <row r="291" spans="12:12" ht="15.75" customHeight="1">
      <c r="L291">
        <v>0</v>
      </c>
    </row>
    <row r="292" spans="12:12" ht="15.75" customHeight="1">
      <c r="L292">
        <v>0</v>
      </c>
    </row>
    <row r="293" spans="12:12" ht="15.75" customHeight="1">
      <c r="L293">
        <v>0</v>
      </c>
    </row>
    <row r="294" spans="12:12" ht="15.75" customHeight="1">
      <c r="L294">
        <v>0</v>
      </c>
    </row>
    <row r="295" spans="12:12" ht="15.75" customHeight="1">
      <c r="L295">
        <v>0</v>
      </c>
    </row>
    <row r="296" spans="12:12" ht="15.75" customHeight="1">
      <c r="L296">
        <v>0</v>
      </c>
    </row>
    <row r="297" spans="12:12" ht="15.75" customHeight="1">
      <c r="L297">
        <v>0</v>
      </c>
    </row>
    <row r="298" spans="12:12" ht="15.75" customHeight="1">
      <c r="L298">
        <v>0</v>
      </c>
    </row>
    <row r="299" spans="12:12" ht="15.75" customHeight="1">
      <c r="L299">
        <v>0</v>
      </c>
    </row>
    <row r="300" spans="12:12" ht="15.75" customHeight="1">
      <c r="L300">
        <v>0</v>
      </c>
    </row>
    <row r="301" spans="12:12" ht="15.75" customHeight="1">
      <c r="L301">
        <v>0</v>
      </c>
    </row>
    <row r="302" spans="12:12" ht="15.75" customHeight="1">
      <c r="L302">
        <v>0</v>
      </c>
    </row>
    <row r="303" spans="12:12" ht="15.75" customHeight="1">
      <c r="L303">
        <v>0</v>
      </c>
    </row>
    <row r="304" spans="12:12" ht="15.75" customHeight="1">
      <c r="L304">
        <v>0</v>
      </c>
    </row>
    <row r="305" spans="12:12" ht="15.75" customHeight="1">
      <c r="L305">
        <v>0</v>
      </c>
    </row>
    <row r="306" spans="12:12" ht="15.75" customHeight="1">
      <c r="L306">
        <v>0</v>
      </c>
    </row>
    <row r="307" spans="12:12" ht="15.75" customHeight="1">
      <c r="L307">
        <v>0</v>
      </c>
    </row>
    <row r="308" spans="12:12" ht="15.75" customHeight="1">
      <c r="L308">
        <v>0</v>
      </c>
    </row>
    <row r="309" spans="12:12" ht="15.75" customHeight="1">
      <c r="L309">
        <v>0</v>
      </c>
    </row>
    <row r="310" spans="12:12" ht="15.75" customHeight="1">
      <c r="L310">
        <v>0</v>
      </c>
    </row>
    <row r="311" spans="12:12" ht="15.75" customHeight="1">
      <c r="L311">
        <v>0</v>
      </c>
    </row>
    <row r="312" spans="12:12" ht="15.75" customHeight="1">
      <c r="L312">
        <v>0</v>
      </c>
    </row>
    <row r="313" spans="12:12" ht="15.75" customHeight="1">
      <c r="L313">
        <v>0</v>
      </c>
    </row>
    <row r="314" spans="12:12" ht="15.75" customHeight="1">
      <c r="L314">
        <v>0</v>
      </c>
    </row>
    <row r="315" spans="12:12" ht="15.75" customHeight="1">
      <c r="L315">
        <v>0</v>
      </c>
    </row>
    <row r="316" spans="12:12" ht="15.75" customHeight="1">
      <c r="L316">
        <v>0</v>
      </c>
    </row>
    <row r="317" spans="12:12" ht="15.75" customHeight="1">
      <c r="L317">
        <v>0</v>
      </c>
    </row>
    <row r="318" spans="12:12" ht="15.75" customHeight="1">
      <c r="L318">
        <v>0</v>
      </c>
    </row>
    <row r="319" spans="12:12" ht="15.75" customHeight="1">
      <c r="L319">
        <v>0</v>
      </c>
    </row>
    <row r="320" spans="12:12" ht="15.75" customHeight="1">
      <c r="L320">
        <v>0</v>
      </c>
    </row>
    <row r="321" spans="12:12" ht="15.75" customHeight="1">
      <c r="L321">
        <v>0</v>
      </c>
    </row>
    <row r="322" spans="12:12" ht="15.75" customHeight="1">
      <c r="L322">
        <v>0</v>
      </c>
    </row>
    <row r="323" spans="12:12" ht="15.75" customHeight="1">
      <c r="L323">
        <v>0</v>
      </c>
    </row>
    <row r="324" spans="12:12" ht="15.75" customHeight="1">
      <c r="L324">
        <v>0</v>
      </c>
    </row>
    <row r="325" spans="12:12" ht="15.75" customHeight="1">
      <c r="L325">
        <v>0</v>
      </c>
    </row>
    <row r="326" spans="12:12" ht="15.75" customHeight="1">
      <c r="L326">
        <v>0</v>
      </c>
    </row>
    <row r="327" spans="12:12" ht="15.75" customHeight="1">
      <c r="L327">
        <v>0</v>
      </c>
    </row>
    <row r="328" spans="12:12" ht="15.75" customHeight="1">
      <c r="L328">
        <v>0</v>
      </c>
    </row>
    <row r="329" spans="12:12" ht="15.75" customHeight="1">
      <c r="L329">
        <v>0</v>
      </c>
    </row>
    <row r="330" spans="12:12" ht="15.75" customHeight="1">
      <c r="L330">
        <v>0</v>
      </c>
    </row>
    <row r="331" spans="12:12" ht="15.75" customHeight="1">
      <c r="L331">
        <v>0</v>
      </c>
    </row>
    <row r="332" spans="12:12" ht="15.75" customHeight="1">
      <c r="L332">
        <v>0</v>
      </c>
    </row>
    <row r="333" spans="12:12" ht="15.75" customHeight="1">
      <c r="L333">
        <v>0</v>
      </c>
    </row>
    <row r="334" spans="12:12" ht="15.75" customHeight="1">
      <c r="L334">
        <v>0</v>
      </c>
    </row>
    <row r="335" spans="12:12" ht="15.75" customHeight="1">
      <c r="L335">
        <v>0</v>
      </c>
    </row>
    <row r="336" spans="12:12" ht="15.75" customHeight="1">
      <c r="L336">
        <v>0</v>
      </c>
    </row>
    <row r="337" spans="12:12" ht="15.75" customHeight="1">
      <c r="L337">
        <v>0</v>
      </c>
    </row>
    <row r="338" spans="12:12" ht="15.75" customHeight="1">
      <c r="L338">
        <v>0</v>
      </c>
    </row>
    <row r="339" spans="12:12" ht="15.75" customHeight="1">
      <c r="L339">
        <v>0</v>
      </c>
    </row>
    <row r="340" spans="12:12" ht="15.75" customHeight="1">
      <c r="L340">
        <v>0</v>
      </c>
    </row>
    <row r="341" spans="12:12" ht="15.75" customHeight="1">
      <c r="L341">
        <v>0</v>
      </c>
    </row>
    <row r="342" spans="12:12" ht="15.75" customHeight="1">
      <c r="L342">
        <v>0</v>
      </c>
    </row>
    <row r="343" spans="12:12" ht="15.75" customHeight="1">
      <c r="L343">
        <v>0</v>
      </c>
    </row>
    <row r="344" spans="12:12" ht="15.75" customHeight="1">
      <c r="L344">
        <v>0</v>
      </c>
    </row>
    <row r="345" spans="12:12" ht="15.75" customHeight="1">
      <c r="L345">
        <v>0</v>
      </c>
    </row>
    <row r="346" spans="12:12" ht="15.75" customHeight="1">
      <c r="L346">
        <v>0</v>
      </c>
    </row>
    <row r="347" spans="12:12" ht="15.75" customHeight="1">
      <c r="L347">
        <v>0</v>
      </c>
    </row>
    <row r="348" spans="12:12" ht="15.75" customHeight="1">
      <c r="L348">
        <v>0</v>
      </c>
    </row>
    <row r="349" spans="12:12" ht="15.75" customHeight="1">
      <c r="L349">
        <v>0</v>
      </c>
    </row>
    <row r="350" spans="12:12" ht="15.75" customHeight="1">
      <c r="L350">
        <v>0</v>
      </c>
    </row>
    <row r="351" spans="12:12" ht="15.75" customHeight="1">
      <c r="L351">
        <v>0</v>
      </c>
    </row>
    <row r="352" spans="12:12" ht="15.75" customHeight="1">
      <c r="L352">
        <v>0</v>
      </c>
    </row>
    <row r="353" spans="12:12" ht="15.75" customHeight="1">
      <c r="L353">
        <v>0</v>
      </c>
    </row>
    <row r="354" spans="12:12" ht="15.75" customHeight="1">
      <c r="L354">
        <v>0</v>
      </c>
    </row>
    <row r="355" spans="12:12" ht="15.75" customHeight="1">
      <c r="L355">
        <v>0</v>
      </c>
    </row>
    <row r="356" spans="12:12" ht="15.75" customHeight="1">
      <c r="L356">
        <v>0</v>
      </c>
    </row>
    <row r="357" spans="12:12" ht="15.75" customHeight="1">
      <c r="L357">
        <v>0</v>
      </c>
    </row>
    <row r="358" spans="12:12" ht="15.75" customHeight="1">
      <c r="L358">
        <v>0</v>
      </c>
    </row>
    <row r="359" spans="12:12" ht="15.75" customHeight="1">
      <c r="L359">
        <v>0</v>
      </c>
    </row>
    <row r="360" spans="12:12" ht="15.75" customHeight="1">
      <c r="L360">
        <v>0</v>
      </c>
    </row>
    <row r="361" spans="12:12" ht="15.75" customHeight="1">
      <c r="L361">
        <v>0</v>
      </c>
    </row>
    <row r="362" spans="12:12" ht="15.75" customHeight="1">
      <c r="L362">
        <v>0</v>
      </c>
    </row>
    <row r="363" spans="12:12" ht="15.75" customHeight="1">
      <c r="L363">
        <v>0</v>
      </c>
    </row>
    <row r="364" spans="12:12" ht="15.75" customHeight="1">
      <c r="L364">
        <v>0</v>
      </c>
    </row>
    <row r="365" spans="12:12" ht="15.75" customHeight="1">
      <c r="L365">
        <v>0</v>
      </c>
    </row>
    <row r="366" spans="12:12" ht="15.75" customHeight="1">
      <c r="L366">
        <v>0</v>
      </c>
    </row>
    <row r="367" spans="12:12" ht="15.75" customHeight="1">
      <c r="L367">
        <v>0</v>
      </c>
    </row>
    <row r="368" spans="12:12" ht="15.75" customHeight="1">
      <c r="L368">
        <v>0</v>
      </c>
    </row>
    <row r="369" spans="12:12" ht="15.75" customHeight="1">
      <c r="L369">
        <v>0</v>
      </c>
    </row>
    <row r="370" spans="12:12" ht="15.75" customHeight="1">
      <c r="L370">
        <v>0</v>
      </c>
    </row>
    <row r="371" spans="12:12" ht="15.75" customHeight="1">
      <c r="L371">
        <v>0</v>
      </c>
    </row>
    <row r="372" spans="12:12" ht="15.75" customHeight="1">
      <c r="L372">
        <v>0</v>
      </c>
    </row>
    <row r="373" spans="12:12" ht="15.75" customHeight="1">
      <c r="L373">
        <v>0</v>
      </c>
    </row>
    <row r="374" spans="12:12" ht="15.75" customHeight="1">
      <c r="L374">
        <v>0</v>
      </c>
    </row>
    <row r="375" spans="12:12" ht="15.75" customHeight="1">
      <c r="L375">
        <v>0</v>
      </c>
    </row>
    <row r="376" spans="12:12" ht="15.75" customHeight="1">
      <c r="L376">
        <v>0</v>
      </c>
    </row>
    <row r="377" spans="12:12" ht="15.75" customHeight="1">
      <c r="L377">
        <v>0</v>
      </c>
    </row>
    <row r="378" spans="12:12" ht="15.75" customHeight="1">
      <c r="L378">
        <v>0</v>
      </c>
    </row>
    <row r="379" spans="12:12" ht="15.75" customHeight="1">
      <c r="L379">
        <v>0</v>
      </c>
    </row>
    <row r="380" spans="12:12" ht="15.75" customHeight="1">
      <c r="L380">
        <v>0</v>
      </c>
    </row>
    <row r="381" spans="12:12" ht="15.75" customHeight="1">
      <c r="L381">
        <v>0</v>
      </c>
    </row>
    <row r="382" spans="12:12" ht="15.75" customHeight="1">
      <c r="L382">
        <v>0</v>
      </c>
    </row>
    <row r="383" spans="12:12" ht="15.75" customHeight="1">
      <c r="L383">
        <v>0</v>
      </c>
    </row>
    <row r="384" spans="12:12" ht="15.75" customHeight="1">
      <c r="L384">
        <v>0</v>
      </c>
    </row>
    <row r="385" spans="12:12" ht="15.75" customHeight="1">
      <c r="L385">
        <v>0</v>
      </c>
    </row>
    <row r="386" spans="12:12" ht="15.75" customHeight="1">
      <c r="L386">
        <v>0</v>
      </c>
    </row>
    <row r="387" spans="12:12" ht="15.75" customHeight="1">
      <c r="L387">
        <v>0</v>
      </c>
    </row>
    <row r="388" spans="12:12" ht="15.75" customHeight="1">
      <c r="L388">
        <v>0</v>
      </c>
    </row>
    <row r="389" spans="12:12" ht="15.75" customHeight="1">
      <c r="L389">
        <v>0</v>
      </c>
    </row>
    <row r="390" spans="12:12" ht="15.75" customHeight="1">
      <c r="L390">
        <v>0</v>
      </c>
    </row>
    <row r="391" spans="12:12" ht="15.75" customHeight="1">
      <c r="L391">
        <v>0</v>
      </c>
    </row>
    <row r="392" spans="12:12" ht="15.75" customHeight="1">
      <c r="L392">
        <v>0</v>
      </c>
    </row>
    <row r="393" spans="12:12" ht="15.75" customHeight="1">
      <c r="L393">
        <v>0</v>
      </c>
    </row>
    <row r="394" spans="12:12" ht="15.75" customHeight="1">
      <c r="L394">
        <v>0</v>
      </c>
    </row>
    <row r="395" spans="12:12" ht="15.75" customHeight="1">
      <c r="L395">
        <v>0</v>
      </c>
    </row>
    <row r="396" spans="12:12" ht="15.75" customHeight="1">
      <c r="L396">
        <v>0</v>
      </c>
    </row>
    <row r="397" spans="12:12" ht="15.75" customHeight="1">
      <c r="L397">
        <v>0</v>
      </c>
    </row>
    <row r="398" spans="12:12" ht="15.75" customHeight="1">
      <c r="L398">
        <v>0</v>
      </c>
    </row>
    <row r="399" spans="12:12" ht="15.75" customHeight="1">
      <c r="L399">
        <v>0</v>
      </c>
    </row>
    <row r="400" spans="12:12" ht="15.75" customHeight="1">
      <c r="L400">
        <v>0</v>
      </c>
    </row>
    <row r="401" spans="12:12" ht="15.75" customHeight="1">
      <c r="L401">
        <v>0</v>
      </c>
    </row>
    <row r="402" spans="12:12" ht="15.75" customHeight="1">
      <c r="L402">
        <v>0</v>
      </c>
    </row>
    <row r="403" spans="12:12" ht="15.75" customHeight="1">
      <c r="L403">
        <v>0</v>
      </c>
    </row>
    <row r="404" spans="12:12" ht="15.75" customHeight="1">
      <c r="L404">
        <v>0</v>
      </c>
    </row>
    <row r="405" spans="12:12" ht="15.75" customHeight="1">
      <c r="L405">
        <v>0</v>
      </c>
    </row>
    <row r="406" spans="12:12" ht="15.75" customHeight="1">
      <c r="L406">
        <v>0</v>
      </c>
    </row>
    <row r="407" spans="12:12" ht="15.75" customHeight="1">
      <c r="L407">
        <v>0</v>
      </c>
    </row>
    <row r="408" spans="12:12" ht="15.75" customHeight="1">
      <c r="L408">
        <v>0</v>
      </c>
    </row>
    <row r="409" spans="12:12" ht="15.75" customHeight="1">
      <c r="L409">
        <v>0</v>
      </c>
    </row>
    <row r="410" spans="12:12" ht="15.75" customHeight="1">
      <c r="L410">
        <v>0</v>
      </c>
    </row>
    <row r="411" spans="12:12" ht="15.75" customHeight="1">
      <c r="L411">
        <v>0</v>
      </c>
    </row>
    <row r="412" spans="12:12" ht="15.75" customHeight="1">
      <c r="L412">
        <v>0</v>
      </c>
    </row>
    <row r="413" spans="12:12" ht="15.75" customHeight="1">
      <c r="L413">
        <v>0</v>
      </c>
    </row>
    <row r="414" spans="12:12" ht="15.75" customHeight="1">
      <c r="L414">
        <v>0</v>
      </c>
    </row>
    <row r="415" spans="12:12" ht="15.75" customHeight="1">
      <c r="L415">
        <v>0</v>
      </c>
    </row>
    <row r="416" spans="12:12" ht="15.75" customHeight="1">
      <c r="L416">
        <v>0</v>
      </c>
    </row>
    <row r="417" spans="12:12" ht="15.75" customHeight="1">
      <c r="L417">
        <v>0</v>
      </c>
    </row>
    <row r="418" spans="12:12" ht="15.75" customHeight="1">
      <c r="L418">
        <v>0</v>
      </c>
    </row>
    <row r="419" spans="12:12" ht="15.75" customHeight="1">
      <c r="L419">
        <v>0</v>
      </c>
    </row>
    <row r="420" spans="12:12" ht="15.75" customHeight="1">
      <c r="L420">
        <v>0</v>
      </c>
    </row>
    <row r="421" spans="12:12" ht="15.75" customHeight="1">
      <c r="L421">
        <v>0</v>
      </c>
    </row>
    <row r="422" spans="12:12" ht="15.75" customHeight="1">
      <c r="L422">
        <v>0</v>
      </c>
    </row>
    <row r="423" spans="12:12" ht="15.75" customHeight="1">
      <c r="L423">
        <v>0</v>
      </c>
    </row>
    <row r="424" spans="12:12" ht="15.75" customHeight="1">
      <c r="L424">
        <v>0</v>
      </c>
    </row>
    <row r="425" spans="12:12" ht="15.75" customHeight="1">
      <c r="L425">
        <v>0</v>
      </c>
    </row>
    <row r="426" spans="12:12" ht="15.75" customHeight="1">
      <c r="L426">
        <v>0</v>
      </c>
    </row>
    <row r="427" spans="12:12" ht="15.75" customHeight="1">
      <c r="L427">
        <v>0</v>
      </c>
    </row>
    <row r="428" spans="12:12" ht="15.75" customHeight="1">
      <c r="L428">
        <v>0</v>
      </c>
    </row>
    <row r="429" spans="12:12" ht="15.75" customHeight="1">
      <c r="L429">
        <v>0</v>
      </c>
    </row>
    <row r="430" spans="12:12" ht="15.75" customHeight="1">
      <c r="L430">
        <v>0</v>
      </c>
    </row>
    <row r="431" spans="12:12" ht="15.75" customHeight="1">
      <c r="L431">
        <v>0</v>
      </c>
    </row>
    <row r="432" spans="12:12" ht="15.75" customHeight="1">
      <c r="L432">
        <v>0</v>
      </c>
    </row>
    <row r="433" spans="12:12" ht="15.75" customHeight="1">
      <c r="L433">
        <v>0</v>
      </c>
    </row>
    <row r="434" spans="12:12" ht="15.75" customHeight="1">
      <c r="L434">
        <v>0</v>
      </c>
    </row>
    <row r="435" spans="12:12" ht="15.75" customHeight="1">
      <c r="L435">
        <v>0</v>
      </c>
    </row>
    <row r="436" spans="12:12" ht="15.75" customHeight="1">
      <c r="L436">
        <v>0</v>
      </c>
    </row>
    <row r="437" spans="12:12" ht="15.75" customHeight="1">
      <c r="L437">
        <v>0</v>
      </c>
    </row>
    <row r="438" spans="12:12" ht="15.75" customHeight="1">
      <c r="L438">
        <v>0</v>
      </c>
    </row>
    <row r="439" spans="12:12" ht="15.75" customHeight="1">
      <c r="L439">
        <v>0</v>
      </c>
    </row>
    <row r="440" spans="12:12" ht="15.75" customHeight="1">
      <c r="L440">
        <v>0</v>
      </c>
    </row>
    <row r="441" spans="12:12" ht="15.75" customHeight="1">
      <c r="L441">
        <v>0</v>
      </c>
    </row>
    <row r="442" spans="12:12" ht="15.75" customHeight="1">
      <c r="L442">
        <v>0</v>
      </c>
    </row>
    <row r="443" spans="12:12" ht="15.75" customHeight="1">
      <c r="L443">
        <v>0</v>
      </c>
    </row>
    <row r="444" spans="12:12" ht="15.75" customHeight="1">
      <c r="L444">
        <v>0</v>
      </c>
    </row>
    <row r="445" spans="12:12" ht="15.75" customHeight="1">
      <c r="L445">
        <v>0</v>
      </c>
    </row>
    <row r="446" spans="12:12" ht="15.75" customHeight="1">
      <c r="L446">
        <v>0</v>
      </c>
    </row>
    <row r="447" spans="12:12" ht="15.75" customHeight="1">
      <c r="L447">
        <v>0</v>
      </c>
    </row>
    <row r="448" spans="12:12" ht="15.75" customHeight="1">
      <c r="L448">
        <v>0</v>
      </c>
    </row>
    <row r="449" spans="12:12" ht="15.75" customHeight="1">
      <c r="L449">
        <v>0</v>
      </c>
    </row>
    <row r="450" spans="12:12" ht="15.75" customHeight="1">
      <c r="L450">
        <v>0</v>
      </c>
    </row>
    <row r="451" spans="12:12" ht="15.75" customHeight="1">
      <c r="L451">
        <v>0</v>
      </c>
    </row>
    <row r="452" spans="12:12" ht="15.75" customHeight="1">
      <c r="L452">
        <v>0</v>
      </c>
    </row>
    <row r="453" spans="12:12" ht="15.75" customHeight="1">
      <c r="L453">
        <v>0</v>
      </c>
    </row>
    <row r="454" spans="12:12" ht="15.75" customHeight="1">
      <c r="L454">
        <v>0</v>
      </c>
    </row>
    <row r="455" spans="12:12" ht="15.75" customHeight="1">
      <c r="L455">
        <v>0</v>
      </c>
    </row>
    <row r="456" spans="12:12" ht="15.75" customHeight="1">
      <c r="L456">
        <v>0</v>
      </c>
    </row>
    <row r="457" spans="12:12" ht="15.75" customHeight="1">
      <c r="L457">
        <v>0</v>
      </c>
    </row>
    <row r="458" spans="12:12" ht="15.75" customHeight="1">
      <c r="L458">
        <v>0</v>
      </c>
    </row>
    <row r="459" spans="12:12" ht="15.75" customHeight="1">
      <c r="L459">
        <v>0</v>
      </c>
    </row>
    <row r="460" spans="12:12" ht="15.75" customHeight="1">
      <c r="L460">
        <v>0</v>
      </c>
    </row>
    <row r="461" spans="12:12" ht="15.75" customHeight="1">
      <c r="L461">
        <v>0</v>
      </c>
    </row>
    <row r="462" spans="12:12" ht="15.75" customHeight="1">
      <c r="L462">
        <v>0</v>
      </c>
    </row>
    <row r="463" spans="12:12" ht="15.75" customHeight="1">
      <c r="L463">
        <v>0</v>
      </c>
    </row>
    <row r="464" spans="12:12" ht="15.75" customHeight="1">
      <c r="L464">
        <v>0</v>
      </c>
    </row>
    <row r="465" spans="12:12" ht="15.75" customHeight="1">
      <c r="L465">
        <v>0</v>
      </c>
    </row>
    <row r="466" spans="12:12" ht="15.75" customHeight="1">
      <c r="L466">
        <v>0</v>
      </c>
    </row>
    <row r="467" spans="12:12" ht="15.75" customHeight="1">
      <c r="L467">
        <v>0</v>
      </c>
    </row>
    <row r="468" spans="12:12" ht="15.75" customHeight="1">
      <c r="L468">
        <v>0</v>
      </c>
    </row>
    <row r="469" spans="12:12" ht="15.75" customHeight="1">
      <c r="L469">
        <v>0</v>
      </c>
    </row>
    <row r="470" spans="12:12" ht="15.75" customHeight="1">
      <c r="L470">
        <v>0</v>
      </c>
    </row>
    <row r="471" spans="12:12" ht="15.75" customHeight="1">
      <c r="L471">
        <v>0</v>
      </c>
    </row>
    <row r="472" spans="12:12" ht="15.75" customHeight="1">
      <c r="L472">
        <v>0</v>
      </c>
    </row>
    <row r="473" spans="12:12" ht="15.75" customHeight="1">
      <c r="L473">
        <v>0</v>
      </c>
    </row>
    <row r="474" spans="12:12" ht="15.75" customHeight="1">
      <c r="L474">
        <v>0</v>
      </c>
    </row>
    <row r="475" spans="12:12" ht="15.75" customHeight="1">
      <c r="L475">
        <v>0</v>
      </c>
    </row>
    <row r="476" spans="12:12" ht="15.75" customHeight="1">
      <c r="L476">
        <v>0</v>
      </c>
    </row>
    <row r="477" spans="12:12" ht="15.75" customHeight="1">
      <c r="L477">
        <v>0</v>
      </c>
    </row>
    <row r="478" spans="12:12" ht="15.75" customHeight="1">
      <c r="L478">
        <v>0</v>
      </c>
    </row>
    <row r="479" spans="12:12" ht="15.75" customHeight="1">
      <c r="L479">
        <v>0</v>
      </c>
    </row>
    <row r="480" spans="12:12" ht="15.75" customHeight="1">
      <c r="L480">
        <v>0</v>
      </c>
    </row>
    <row r="481" spans="12:12" ht="15.75" customHeight="1">
      <c r="L481">
        <v>0</v>
      </c>
    </row>
    <row r="482" spans="12:12" ht="15.75" customHeight="1">
      <c r="L482">
        <v>0</v>
      </c>
    </row>
    <row r="483" spans="12:12" ht="15.75" customHeight="1">
      <c r="L483">
        <v>0</v>
      </c>
    </row>
    <row r="484" spans="12:12" ht="15.75" customHeight="1">
      <c r="L484">
        <v>0</v>
      </c>
    </row>
    <row r="485" spans="12:12" ht="15.75" customHeight="1">
      <c r="L485">
        <v>0</v>
      </c>
    </row>
    <row r="486" spans="12:12" ht="15.75" customHeight="1">
      <c r="L486">
        <v>0</v>
      </c>
    </row>
    <row r="487" spans="12:12" ht="15.75" customHeight="1">
      <c r="L487">
        <v>0</v>
      </c>
    </row>
    <row r="488" spans="12:12" ht="15.75" customHeight="1">
      <c r="L488">
        <v>0</v>
      </c>
    </row>
    <row r="489" spans="12:12" ht="15.75" customHeight="1">
      <c r="L489">
        <v>0</v>
      </c>
    </row>
    <row r="490" spans="12:12" ht="15.75" customHeight="1">
      <c r="L490">
        <v>0</v>
      </c>
    </row>
    <row r="491" spans="12:12" ht="15.75" customHeight="1">
      <c r="L491">
        <v>0</v>
      </c>
    </row>
    <row r="492" spans="12:12" ht="15.75" customHeight="1">
      <c r="L492">
        <v>0</v>
      </c>
    </row>
    <row r="493" spans="12:12" ht="15.75" customHeight="1">
      <c r="L493">
        <v>0</v>
      </c>
    </row>
    <row r="494" spans="12:12" ht="15.75" customHeight="1">
      <c r="L494">
        <v>0</v>
      </c>
    </row>
    <row r="495" spans="12:12" ht="15.75" customHeight="1">
      <c r="L495">
        <v>0</v>
      </c>
    </row>
    <row r="496" spans="12:12" ht="15.75" customHeight="1">
      <c r="L496">
        <v>0</v>
      </c>
    </row>
    <row r="497" spans="12:12" ht="15.75" customHeight="1">
      <c r="L497">
        <v>0</v>
      </c>
    </row>
    <row r="498" spans="12:12" ht="15.75" customHeight="1">
      <c r="L498">
        <v>0</v>
      </c>
    </row>
    <row r="499" spans="12:12" ht="15.75" customHeight="1">
      <c r="L499">
        <v>0</v>
      </c>
    </row>
    <row r="500" spans="12:12" ht="15.75" customHeight="1">
      <c r="L500">
        <v>0</v>
      </c>
    </row>
    <row r="501" spans="12:12" ht="15.75" customHeight="1">
      <c r="L501">
        <v>0</v>
      </c>
    </row>
    <row r="502" spans="12:12" ht="15.75" customHeight="1">
      <c r="L502">
        <v>0</v>
      </c>
    </row>
    <row r="503" spans="12:12" ht="15.75" customHeight="1">
      <c r="L503">
        <v>0</v>
      </c>
    </row>
    <row r="504" spans="12:12" ht="15.75" customHeight="1">
      <c r="L504">
        <v>0</v>
      </c>
    </row>
    <row r="505" spans="12:12" ht="15.75" customHeight="1">
      <c r="L505">
        <v>0</v>
      </c>
    </row>
    <row r="506" spans="12:12" ht="15.75" customHeight="1">
      <c r="L506">
        <v>0</v>
      </c>
    </row>
    <row r="507" spans="12:12" ht="15.75" customHeight="1">
      <c r="L507">
        <v>0</v>
      </c>
    </row>
    <row r="508" spans="12:12" ht="15.75" customHeight="1">
      <c r="L508">
        <v>0</v>
      </c>
    </row>
    <row r="509" spans="12:12" ht="15.75" customHeight="1">
      <c r="L509">
        <v>0</v>
      </c>
    </row>
    <row r="510" spans="12:12" ht="15.75" customHeight="1">
      <c r="L510">
        <v>0</v>
      </c>
    </row>
    <row r="511" spans="12:12" ht="15.75" customHeight="1">
      <c r="L511">
        <v>0</v>
      </c>
    </row>
    <row r="512" spans="12:12" ht="15.75" customHeight="1">
      <c r="L512">
        <v>0</v>
      </c>
    </row>
    <row r="513" spans="12:12" ht="15.75" customHeight="1">
      <c r="L513">
        <v>0</v>
      </c>
    </row>
    <row r="514" spans="12:12" ht="15.75" customHeight="1">
      <c r="L514">
        <v>0</v>
      </c>
    </row>
    <row r="515" spans="12:12" ht="15.75" customHeight="1">
      <c r="L515">
        <v>0</v>
      </c>
    </row>
    <row r="516" spans="12:12" ht="15.75" customHeight="1">
      <c r="L516">
        <v>0</v>
      </c>
    </row>
    <row r="517" spans="12:12" ht="15.75" customHeight="1">
      <c r="L517">
        <v>0</v>
      </c>
    </row>
    <row r="518" spans="12:12" ht="15.75" customHeight="1">
      <c r="L518">
        <v>0</v>
      </c>
    </row>
    <row r="519" spans="12:12" ht="15.75" customHeight="1">
      <c r="L519">
        <v>0</v>
      </c>
    </row>
    <row r="520" spans="12:12" ht="15.75" customHeight="1">
      <c r="L520">
        <v>0</v>
      </c>
    </row>
    <row r="521" spans="12:12" ht="15.75" customHeight="1">
      <c r="L521">
        <v>0</v>
      </c>
    </row>
    <row r="522" spans="12:12" ht="15.75" customHeight="1">
      <c r="L522">
        <v>0</v>
      </c>
    </row>
    <row r="523" spans="12:12" ht="15.75" customHeight="1">
      <c r="L523">
        <v>0</v>
      </c>
    </row>
    <row r="524" spans="12:12" ht="15.75" customHeight="1">
      <c r="L524">
        <v>0</v>
      </c>
    </row>
    <row r="525" spans="12:12" ht="15.75" customHeight="1">
      <c r="L525">
        <v>0</v>
      </c>
    </row>
    <row r="526" spans="12:12" ht="15.75" customHeight="1">
      <c r="L526">
        <v>0</v>
      </c>
    </row>
    <row r="527" spans="12:12" ht="15.75" customHeight="1">
      <c r="L527">
        <v>0</v>
      </c>
    </row>
    <row r="528" spans="12:12" ht="15.75" customHeight="1">
      <c r="L528">
        <v>0</v>
      </c>
    </row>
    <row r="529" spans="12:12" ht="15.75" customHeight="1">
      <c r="L529">
        <v>0</v>
      </c>
    </row>
    <row r="530" spans="12:12" ht="15.75" customHeight="1">
      <c r="L530">
        <v>0</v>
      </c>
    </row>
    <row r="531" spans="12:12" ht="15.75" customHeight="1">
      <c r="L531">
        <v>0</v>
      </c>
    </row>
    <row r="532" spans="12:12" ht="15.75" customHeight="1">
      <c r="L532">
        <v>0</v>
      </c>
    </row>
    <row r="533" spans="12:12" ht="15.75" customHeight="1">
      <c r="L533">
        <v>0</v>
      </c>
    </row>
    <row r="534" spans="12:12" ht="15.75" customHeight="1">
      <c r="L534">
        <v>0</v>
      </c>
    </row>
    <row r="535" spans="12:12" ht="15.75" customHeight="1">
      <c r="L535">
        <v>0</v>
      </c>
    </row>
    <row r="536" spans="12:12" ht="15.75" customHeight="1">
      <c r="L536">
        <v>0</v>
      </c>
    </row>
    <row r="537" spans="12:12" ht="15.75" customHeight="1">
      <c r="L537">
        <v>0</v>
      </c>
    </row>
    <row r="538" spans="12:12" ht="15.75" customHeight="1">
      <c r="L538">
        <v>0</v>
      </c>
    </row>
    <row r="539" spans="12:12" ht="15.75" customHeight="1">
      <c r="L539">
        <v>0</v>
      </c>
    </row>
    <row r="540" spans="12:12" ht="15.75" customHeight="1">
      <c r="L540">
        <v>0</v>
      </c>
    </row>
    <row r="541" spans="12:12" ht="15.75" customHeight="1">
      <c r="L541">
        <v>0</v>
      </c>
    </row>
    <row r="542" spans="12:12" ht="15.75" customHeight="1">
      <c r="L542">
        <v>0</v>
      </c>
    </row>
    <row r="543" spans="12:12" ht="15.75" customHeight="1">
      <c r="L543">
        <v>0</v>
      </c>
    </row>
    <row r="544" spans="12:12" ht="15.75" customHeight="1">
      <c r="L544">
        <v>0</v>
      </c>
    </row>
    <row r="545" spans="12:12" ht="15.75" customHeight="1">
      <c r="L545">
        <v>0</v>
      </c>
    </row>
    <row r="546" spans="12:12" ht="15.75" customHeight="1">
      <c r="L546">
        <v>0</v>
      </c>
    </row>
    <row r="547" spans="12:12" ht="15.75" customHeight="1">
      <c r="L547">
        <v>0</v>
      </c>
    </row>
    <row r="548" spans="12:12" ht="15.75" customHeight="1">
      <c r="L548">
        <v>0</v>
      </c>
    </row>
    <row r="549" spans="12:12" ht="15.75" customHeight="1">
      <c r="L549">
        <v>0</v>
      </c>
    </row>
    <row r="550" spans="12:12" ht="15.75" customHeight="1">
      <c r="L550">
        <v>0</v>
      </c>
    </row>
    <row r="551" spans="12:12" ht="15.75" customHeight="1">
      <c r="L551">
        <v>0</v>
      </c>
    </row>
    <row r="552" spans="12:12" ht="15.75" customHeight="1">
      <c r="L552">
        <v>0</v>
      </c>
    </row>
    <row r="553" spans="12:12" ht="15.75" customHeight="1">
      <c r="L553">
        <v>0</v>
      </c>
    </row>
    <row r="554" spans="12:12" ht="15.75" customHeight="1">
      <c r="L554">
        <v>0</v>
      </c>
    </row>
    <row r="555" spans="12:12" ht="15.75" customHeight="1">
      <c r="L555">
        <v>0</v>
      </c>
    </row>
    <row r="556" spans="12:12" ht="15.75" customHeight="1">
      <c r="L556">
        <v>0</v>
      </c>
    </row>
    <row r="557" spans="12:12" ht="15.75" customHeight="1">
      <c r="L557">
        <v>0</v>
      </c>
    </row>
    <row r="558" spans="12:12" ht="15.75" customHeight="1">
      <c r="L558">
        <v>0</v>
      </c>
    </row>
    <row r="559" spans="12:12" ht="15.75" customHeight="1">
      <c r="L559">
        <v>0</v>
      </c>
    </row>
    <row r="560" spans="12:12" ht="15.75" customHeight="1">
      <c r="L560">
        <v>0</v>
      </c>
    </row>
    <row r="561" spans="12:12" ht="15.75" customHeight="1">
      <c r="L561">
        <v>0</v>
      </c>
    </row>
    <row r="562" spans="12:12" ht="15.75" customHeight="1">
      <c r="L562">
        <v>0</v>
      </c>
    </row>
    <row r="563" spans="12:12" ht="15.75" customHeight="1">
      <c r="L563">
        <v>0</v>
      </c>
    </row>
    <row r="564" spans="12:12" ht="15.75" customHeight="1">
      <c r="L564">
        <v>0</v>
      </c>
    </row>
    <row r="565" spans="12:12" ht="15.75" customHeight="1">
      <c r="L565">
        <v>0</v>
      </c>
    </row>
    <row r="566" spans="12:12" ht="15.75" customHeight="1">
      <c r="L566">
        <v>0</v>
      </c>
    </row>
    <row r="567" spans="12:12" ht="15.75" customHeight="1">
      <c r="L567">
        <v>0</v>
      </c>
    </row>
    <row r="568" spans="12:12" ht="15.75" customHeight="1">
      <c r="L568">
        <v>0</v>
      </c>
    </row>
    <row r="569" spans="12:12" ht="15.75" customHeight="1">
      <c r="L569">
        <v>0</v>
      </c>
    </row>
    <row r="570" spans="12:12" ht="15.75" customHeight="1">
      <c r="L570">
        <v>0</v>
      </c>
    </row>
    <row r="571" spans="12:12" ht="15.75" customHeight="1">
      <c r="L571">
        <v>0</v>
      </c>
    </row>
    <row r="572" spans="12:12" ht="15.75" customHeight="1">
      <c r="L572">
        <v>0</v>
      </c>
    </row>
    <row r="573" spans="12:12" ht="15.75" customHeight="1">
      <c r="L573">
        <v>0</v>
      </c>
    </row>
    <row r="574" spans="12:12" ht="15.75" customHeight="1">
      <c r="L574">
        <v>0</v>
      </c>
    </row>
    <row r="575" spans="12:12" ht="15.75" customHeight="1">
      <c r="L575">
        <v>0</v>
      </c>
    </row>
    <row r="576" spans="12:12" ht="15.75" customHeight="1">
      <c r="L576">
        <v>0</v>
      </c>
    </row>
    <row r="577" spans="12:12" ht="15.75" customHeight="1">
      <c r="L577">
        <v>0</v>
      </c>
    </row>
    <row r="578" spans="12:12" ht="15.75" customHeight="1">
      <c r="L578">
        <v>0</v>
      </c>
    </row>
    <row r="579" spans="12:12" ht="15.75" customHeight="1">
      <c r="L579">
        <v>0</v>
      </c>
    </row>
    <row r="580" spans="12:12" ht="15.75" customHeight="1">
      <c r="L580">
        <v>0</v>
      </c>
    </row>
    <row r="581" spans="12:12" ht="15.75" customHeight="1">
      <c r="L581">
        <v>0</v>
      </c>
    </row>
    <row r="582" spans="12:12" ht="15.75" customHeight="1">
      <c r="L582">
        <v>0</v>
      </c>
    </row>
    <row r="583" spans="12:12" ht="15.75" customHeight="1">
      <c r="L583">
        <v>0</v>
      </c>
    </row>
    <row r="584" spans="12:12" ht="15.75" customHeight="1">
      <c r="L584">
        <v>0</v>
      </c>
    </row>
    <row r="585" spans="12:12" ht="15.75" customHeight="1">
      <c r="L585">
        <v>0</v>
      </c>
    </row>
    <row r="586" spans="12:12" ht="15.75" customHeight="1">
      <c r="L586">
        <v>0</v>
      </c>
    </row>
    <row r="587" spans="12:12" ht="15.75" customHeight="1">
      <c r="L587">
        <v>0</v>
      </c>
    </row>
    <row r="588" spans="12:12" ht="15.75" customHeight="1">
      <c r="L588">
        <v>0</v>
      </c>
    </row>
    <row r="589" spans="12:12" ht="15.75" customHeight="1">
      <c r="L589">
        <v>0</v>
      </c>
    </row>
    <row r="590" spans="12:12" ht="15.75" customHeight="1">
      <c r="L590">
        <v>0</v>
      </c>
    </row>
    <row r="591" spans="12:12" ht="15.75" customHeight="1">
      <c r="L591">
        <v>0</v>
      </c>
    </row>
    <row r="592" spans="12:12" ht="15.75" customHeight="1">
      <c r="L592">
        <v>0</v>
      </c>
    </row>
    <row r="593" spans="12:12" ht="15.75" customHeight="1">
      <c r="L593">
        <v>0</v>
      </c>
    </row>
    <row r="594" spans="12:12" ht="15.75" customHeight="1">
      <c r="L594">
        <v>0</v>
      </c>
    </row>
    <row r="595" spans="12:12" ht="15.75" customHeight="1">
      <c r="L595">
        <v>0</v>
      </c>
    </row>
    <row r="596" spans="12:12" ht="15.75" customHeight="1">
      <c r="L596">
        <v>0</v>
      </c>
    </row>
    <row r="597" spans="12:12" ht="15.75" customHeight="1">
      <c r="L597">
        <v>0</v>
      </c>
    </row>
    <row r="598" spans="12:12" ht="15.75" customHeight="1">
      <c r="L598">
        <v>0</v>
      </c>
    </row>
    <row r="599" spans="12:12" ht="15.75" customHeight="1">
      <c r="L599">
        <v>0</v>
      </c>
    </row>
    <row r="600" spans="12:12" ht="15.75" customHeight="1">
      <c r="L600">
        <v>0</v>
      </c>
    </row>
    <row r="601" spans="12:12" ht="15.75" customHeight="1">
      <c r="L601">
        <v>0</v>
      </c>
    </row>
    <row r="602" spans="12:12" ht="15.75" customHeight="1">
      <c r="L602">
        <v>0</v>
      </c>
    </row>
    <row r="603" spans="12:12" ht="15.75" customHeight="1">
      <c r="L603">
        <v>0</v>
      </c>
    </row>
    <row r="604" spans="12:12" ht="15.75" customHeight="1">
      <c r="L604">
        <v>0</v>
      </c>
    </row>
    <row r="605" spans="12:12" ht="15.75" customHeight="1">
      <c r="L605">
        <v>0</v>
      </c>
    </row>
    <row r="606" spans="12:12" ht="15.75" customHeight="1">
      <c r="L606">
        <v>0</v>
      </c>
    </row>
    <row r="607" spans="12:12" ht="15.75" customHeight="1">
      <c r="L607">
        <v>0</v>
      </c>
    </row>
    <row r="608" spans="12:12" ht="15.75" customHeight="1">
      <c r="L608">
        <v>0</v>
      </c>
    </row>
    <row r="609" spans="12:12" ht="15.75" customHeight="1">
      <c r="L609">
        <v>0</v>
      </c>
    </row>
    <row r="610" spans="12:12" ht="15.75" customHeight="1">
      <c r="L610">
        <v>0</v>
      </c>
    </row>
    <row r="611" spans="12:12" ht="15.75" customHeight="1">
      <c r="L611">
        <v>0</v>
      </c>
    </row>
    <row r="612" spans="12:12" ht="15.75" customHeight="1">
      <c r="L612">
        <v>0</v>
      </c>
    </row>
    <row r="613" spans="12:12" ht="15.75" customHeight="1">
      <c r="L613">
        <v>0</v>
      </c>
    </row>
    <row r="614" spans="12:12" ht="15.75" customHeight="1">
      <c r="L614">
        <v>0</v>
      </c>
    </row>
    <row r="615" spans="12:12" ht="15.75" customHeight="1">
      <c r="L615">
        <v>0</v>
      </c>
    </row>
    <row r="616" spans="12:12" ht="15.75" customHeight="1">
      <c r="L616">
        <v>0</v>
      </c>
    </row>
    <row r="617" spans="12:12" ht="15.75" customHeight="1">
      <c r="L617">
        <v>0</v>
      </c>
    </row>
    <row r="618" spans="12:12" ht="15.75" customHeight="1">
      <c r="L618">
        <v>0</v>
      </c>
    </row>
    <row r="619" spans="12:12" ht="15.75" customHeight="1">
      <c r="L619">
        <v>0</v>
      </c>
    </row>
    <row r="620" spans="12:12" ht="15.75" customHeight="1">
      <c r="L620">
        <v>0</v>
      </c>
    </row>
    <row r="621" spans="12:12" ht="15.75" customHeight="1">
      <c r="L621">
        <v>0</v>
      </c>
    </row>
    <row r="622" spans="12:12" ht="15.75" customHeight="1">
      <c r="L622">
        <v>0</v>
      </c>
    </row>
    <row r="623" spans="12:12" ht="15.75" customHeight="1">
      <c r="L623">
        <v>0</v>
      </c>
    </row>
    <row r="624" spans="12:12" ht="15.75" customHeight="1">
      <c r="L624">
        <v>0</v>
      </c>
    </row>
    <row r="625" spans="12:12" ht="15.75" customHeight="1">
      <c r="L625">
        <v>0</v>
      </c>
    </row>
    <row r="626" spans="12:12" ht="15.75" customHeight="1">
      <c r="L626">
        <v>0</v>
      </c>
    </row>
    <row r="627" spans="12:12" ht="15.75" customHeight="1">
      <c r="L627">
        <v>0</v>
      </c>
    </row>
    <row r="628" spans="12:12" ht="15.75" customHeight="1">
      <c r="L628">
        <v>0</v>
      </c>
    </row>
    <row r="629" spans="12:12" ht="15.75" customHeight="1">
      <c r="L629">
        <v>0</v>
      </c>
    </row>
    <row r="630" spans="12:12" ht="15.75" customHeight="1">
      <c r="L630">
        <v>0</v>
      </c>
    </row>
    <row r="631" spans="12:12" ht="15.75" customHeight="1">
      <c r="L631">
        <v>0</v>
      </c>
    </row>
    <row r="632" spans="12:12" ht="15.75" customHeight="1">
      <c r="L632">
        <v>0</v>
      </c>
    </row>
    <row r="633" spans="12:12" ht="15.75" customHeight="1">
      <c r="L633">
        <v>0</v>
      </c>
    </row>
    <row r="634" spans="12:12" ht="15.75" customHeight="1">
      <c r="L634">
        <v>0</v>
      </c>
    </row>
    <row r="635" spans="12:12" ht="15.75" customHeight="1">
      <c r="L635">
        <v>0</v>
      </c>
    </row>
    <row r="636" spans="12:12" ht="15.75" customHeight="1">
      <c r="L636">
        <v>0</v>
      </c>
    </row>
    <row r="637" spans="12:12" ht="15.75" customHeight="1">
      <c r="L637">
        <v>0</v>
      </c>
    </row>
    <row r="638" spans="12:12" ht="15.75" customHeight="1">
      <c r="L638">
        <v>0</v>
      </c>
    </row>
    <row r="639" spans="12:12" ht="15.75" customHeight="1">
      <c r="L639">
        <v>0</v>
      </c>
    </row>
    <row r="640" spans="12:12" ht="15.75" customHeight="1">
      <c r="L640">
        <v>0</v>
      </c>
    </row>
    <row r="641" spans="12:12" ht="15.75" customHeight="1">
      <c r="L641">
        <v>0</v>
      </c>
    </row>
    <row r="642" spans="12:12" ht="15.75" customHeight="1">
      <c r="L642">
        <v>0</v>
      </c>
    </row>
    <row r="643" spans="12:12" ht="15.75" customHeight="1">
      <c r="L643">
        <v>0</v>
      </c>
    </row>
    <row r="644" spans="12:12" ht="15.75" customHeight="1">
      <c r="L644">
        <v>0</v>
      </c>
    </row>
    <row r="645" spans="12:12" ht="15.75" customHeight="1">
      <c r="L645">
        <v>0</v>
      </c>
    </row>
    <row r="646" spans="12:12" ht="15.75" customHeight="1">
      <c r="L646">
        <v>0</v>
      </c>
    </row>
    <row r="647" spans="12:12" ht="15.75" customHeight="1">
      <c r="L647">
        <v>0</v>
      </c>
    </row>
    <row r="648" spans="12:12" ht="15.75" customHeight="1">
      <c r="L648">
        <v>0</v>
      </c>
    </row>
    <row r="649" spans="12:12" ht="15.75" customHeight="1">
      <c r="L649">
        <v>0</v>
      </c>
    </row>
    <row r="650" spans="12:12" ht="15.75" customHeight="1">
      <c r="L650">
        <v>0</v>
      </c>
    </row>
    <row r="651" spans="12:12" ht="15.75" customHeight="1">
      <c r="L651">
        <v>0</v>
      </c>
    </row>
    <row r="652" spans="12:12" ht="15.75" customHeight="1">
      <c r="L652">
        <v>0</v>
      </c>
    </row>
    <row r="653" spans="12:12" ht="15.75" customHeight="1">
      <c r="L653">
        <v>0</v>
      </c>
    </row>
    <row r="654" spans="12:12" ht="15.75" customHeight="1">
      <c r="L654">
        <v>0</v>
      </c>
    </row>
    <row r="655" spans="12:12" ht="15.75" customHeight="1">
      <c r="L655">
        <v>0</v>
      </c>
    </row>
    <row r="656" spans="12:12" ht="15.75" customHeight="1">
      <c r="L656">
        <v>0</v>
      </c>
    </row>
    <row r="657" spans="12:12" ht="15.75" customHeight="1">
      <c r="L657">
        <v>0</v>
      </c>
    </row>
    <row r="658" spans="12:12" ht="15.75" customHeight="1">
      <c r="L658">
        <v>0</v>
      </c>
    </row>
    <row r="659" spans="12:12" ht="15.75" customHeight="1">
      <c r="L659">
        <v>0</v>
      </c>
    </row>
    <row r="660" spans="12:12" ht="15.75" customHeight="1">
      <c r="L660">
        <v>0</v>
      </c>
    </row>
    <row r="661" spans="12:12" ht="15.75" customHeight="1">
      <c r="L661">
        <v>0</v>
      </c>
    </row>
    <row r="662" spans="12:12" ht="15.75" customHeight="1">
      <c r="L662">
        <v>0</v>
      </c>
    </row>
    <row r="663" spans="12:12" ht="15.75" customHeight="1">
      <c r="L663">
        <v>0</v>
      </c>
    </row>
    <row r="664" spans="12:12" ht="15.75" customHeight="1">
      <c r="L664">
        <v>0</v>
      </c>
    </row>
    <row r="665" spans="12:12" ht="15.75" customHeight="1">
      <c r="L665">
        <v>0</v>
      </c>
    </row>
    <row r="666" spans="12:12" ht="15.75" customHeight="1">
      <c r="L666">
        <v>0</v>
      </c>
    </row>
    <row r="667" spans="12:12" ht="15.75" customHeight="1">
      <c r="L667">
        <v>0</v>
      </c>
    </row>
    <row r="668" spans="12:12" ht="15.75" customHeight="1">
      <c r="L668">
        <v>0</v>
      </c>
    </row>
    <row r="669" spans="12:12" ht="15.75" customHeight="1">
      <c r="L669">
        <v>0</v>
      </c>
    </row>
    <row r="670" spans="12:12" ht="15.75" customHeight="1">
      <c r="L670">
        <v>0</v>
      </c>
    </row>
    <row r="671" spans="12:12" ht="15.75" customHeight="1">
      <c r="L671">
        <v>0</v>
      </c>
    </row>
    <row r="672" spans="12:12" ht="15.75" customHeight="1">
      <c r="L672">
        <v>0</v>
      </c>
    </row>
    <row r="673" spans="12:12" ht="15.75" customHeight="1">
      <c r="L673">
        <v>0</v>
      </c>
    </row>
    <row r="674" spans="12:12" ht="15.75" customHeight="1">
      <c r="L674">
        <v>0</v>
      </c>
    </row>
    <row r="675" spans="12:12" ht="15.75" customHeight="1">
      <c r="L675">
        <v>0</v>
      </c>
    </row>
    <row r="676" spans="12:12" ht="15.75" customHeight="1">
      <c r="L676">
        <v>0</v>
      </c>
    </row>
    <row r="677" spans="12:12" ht="15.75" customHeight="1">
      <c r="L677">
        <v>0</v>
      </c>
    </row>
    <row r="678" spans="12:12" ht="15.75" customHeight="1">
      <c r="L678">
        <v>0</v>
      </c>
    </row>
    <row r="679" spans="12:12" ht="15.75" customHeight="1">
      <c r="L679">
        <v>0</v>
      </c>
    </row>
    <row r="680" spans="12:12" ht="15.75" customHeight="1">
      <c r="L680">
        <v>0</v>
      </c>
    </row>
    <row r="681" spans="12:12" ht="15.75" customHeight="1">
      <c r="L681">
        <v>0</v>
      </c>
    </row>
    <row r="682" spans="12:12" ht="15.75" customHeight="1">
      <c r="L682">
        <v>0</v>
      </c>
    </row>
    <row r="683" spans="12:12" ht="15.75" customHeight="1">
      <c r="L683">
        <v>0</v>
      </c>
    </row>
    <row r="684" spans="12:12" ht="15.75" customHeight="1">
      <c r="L684">
        <v>0</v>
      </c>
    </row>
    <row r="685" spans="12:12" ht="15.75" customHeight="1">
      <c r="L685">
        <v>0</v>
      </c>
    </row>
    <row r="686" spans="12:12" ht="15.75" customHeight="1">
      <c r="L686">
        <v>0</v>
      </c>
    </row>
    <row r="687" spans="12:12" ht="15.75" customHeight="1">
      <c r="L687">
        <v>0</v>
      </c>
    </row>
    <row r="688" spans="12:12" ht="15.75" customHeight="1">
      <c r="L688">
        <v>0</v>
      </c>
    </row>
    <row r="689" spans="12:12" ht="15.75" customHeight="1">
      <c r="L689">
        <v>0</v>
      </c>
    </row>
    <row r="690" spans="12:12" ht="15.75" customHeight="1">
      <c r="L690">
        <v>0</v>
      </c>
    </row>
    <row r="691" spans="12:12" ht="15.75" customHeight="1">
      <c r="L691">
        <v>0</v>
      </c>
    </row>
    <row r="692" spans="12:12" ht="15.75" customHeight="1">
      <c r="L692">
        <v>0</v>
      </c>
    </row>
    <row r="693" spans="12:12" ht="15.75" customHeight="1">
      <c r="L693">
        <v>0</v>
      </c>
    </row>
    <row r="694" spans="12:12" ht="15.75" customHeight="1">
      <c r="L694">
        <v>0</v>
      </c>
    </row>
    <row r="695" spans="12:12" ht="15.75" customHeight="1">
      <c r="L695">
        <v>0</v>
      </c>
    </row>
    <row r="696" spans="12:12" ht="15.75" customHeight="1">
      <c r="L696">
        <v>0</v>
      </c>
    </row>
    <row r="697" spans="12:12" ht="15.75" customHeight="1">
      <c r="L697">
        <v>0</v>
      </c>
    </row>
    <row r="698" spans="12:12" ht="15.75" customHeight="1">
      <c r="L698">
        <v>0</v>
      </c>
    </row>
    <row r="699" spans="12:12" ht="15.75" customHeight="1">
      <c r="L699">
        <v>0</v>
      </c>
    </row>
    <row r="700" spans="12:12" ht="15.75" customHeight="1">
      <c r="L700">
        <v>0</v>
      </c>
    </row>
    <row r="701" spans="12:12" ht="15.75" customHeight="1">
      <c r="L701">
        <v>0</v>
      </c>
    </row>
    <row r="702" spans="12:12" ht="15.75" customHeight="1">
      <c r="L702">
        <v>0</v>
      </c>
    </row>
    <row r="703" spans="12:12" ht="15.75" customHeight="1">
      <c r="L703">
        <v>0</v>
      </c>
    </row>
    <row r="704" spans="12:12" ht="15.75" customHeight="1">
      <c r="L704">
        <v>0</v>
      </c>
    </row>
    <row r="705" spans="12:12" ht="15.75" customHeight="1">
      <c r="L705">
        <v>0</v>
      </c>
    </row>
    <row r="706" spans="12:12" ht="15.75" customHeight="1">
      <c r="L706">
        <v>0</v>
      </c>
    </row>
    <row r="707" spans="12:12" ht="15.75" customHeight="1">
      <c r="L707">
        <v>0</v>
      </c>
    </row>
    <row r="708" spans="12:12" ht="15.75" customHeight="1">
      <c r="L708">
        <v>0</v>
      </c>
    </row>
    <row r="709" spans="12:12" ht="15.75" customHeight="1">
      <c r="L709">
        <v>0</v>
      </c>
    </row>
    <row r="710" spans="12:12" ht="15.75" customHeight="1">
      <c r="L710">
        <v>0</v>
      </c>
    </row>
    <row r="711" spans="12:12" ht="15.75" customHeight="1">
      <c r="L711">
        <v>0</v>
      </c>
    </row>
    <row r="712" spans="12:12" ht="15.75" customHeight="1">
      <c r="L712">
        <v>0</v>
      </c>
    </row>
    <row r="713" spans="12:12" ht="15.75" customHeight="1">
      <c r="L713">
        <v>0</v>
      </c>
    </row>
    <row r="714" spans="12:12" ht="15.75" customHeight="1">
      <c r="L714">
        <v>0</v>
      </c>
    </row>
    <row r="715" spans="12:12" ht="15.75" customHeight="1">
      <c r="L715">
        <v>0</v>
      </c>
    </row>
    <row r="716" spans="12:12" ht="15.75" customHeight="1">
      <c r="L716">
        <v>0</v>
      </c>
    </row>
    <row r="717" spans="12:12" ht="15.75" customHeight="1">
      <c r="L717">
        <v>0</v>
      </c>
    </row>
    <row r="718" spans="12:12" ht="15.75" customHeight="1">
      <c r="L718">
        <v>0</v>
      </c>
    </row>
    <row r="719" spans="12:12" ht="15.75" customHeight="1">
      <c r="L719">
        <v>0</v>
      </c>
    </row>
    <row r="720" spans="12:12" ht="15.75" customHeight="1">
      <c r="L720">
        <v>0</v>
      </c>
    </row>
    <row r="721" spans="12:12" ht="15.75" customHeight="1">
      <c r="L721">
        <v>0</v>
      </c>
    </row>
    <row r="722" spans="12:12" ht="15.75" customHeight="1">
      <c r="L722">
        <v>0</v>
      </c>
    </row>
    <row r="723" spans="12:12" ht="15.75" customHeight="1">
      <c r="L723">
        <v>0</v>
      </c>
    </row>
    <row r="724" spans="12:12" ht="15.75" customHeight="1">
      <c r="L724">
        <v>0</v>
      </c>
    </row>
    <row r="725" spans="12:12" ht="15.75" customHeight="1">
      <c r="L725">
        <v>0</v>
      </c>
    </row>
    <row r="726" spans="12:12" ht="15.75" customHeight="1">
      <c r="L726">
        <v>0</v>
      </c>
    </row>
    <row r="727" spans="12:12" ht="15.75" customHeight="1">
      <c r="L727">
        <v>0</v>
      </c>
    </row>
    <row r="728" spans="12:12" ht="15.75" customHeight="1">
      <c r="L728">
        <v>0</v>
      </c>
    </row>
    <row r="729" spans="12:12" ht="15.75" customHeight="1">
      <c r="L729">
        <v>0</v>
      </c>
    </row>
    <row r="730" spans="12:12" ht="15.75" customHeight="1">
      <c r="L730">
        <v>0</v>
      </c>
    </row>
    <row r="731" spans="12:12" ht="15.75" customHeight="1">
      <c r="L731">
        <v>0</v>
      </c>
    </row>
    <row r="732" spans="12:12" ht="15.75" customHeight="1">
      <c r="L732">
        <v>0</v>
      </c>
    </row>
    <row r="733" spans="12:12" ht="15.75" customHeight="1">
      <c r="L733">
        <v>0</v>
      </c>
    </row>
    <row r="734" spans="12:12" ht="15.75" customHeight="1">
      <c r="L734">
        <v>0</v>
      </c>
    </row>
    <row r="735" spans="12:12" ht="15.75" customHeight="1">
      <c r="L735">
        <v>0</v>
      </c>
    </row>
    <row r="736" spans="12:12" ht="15.75" customHeight="1">
      <c r="L736">
        <v>0</v>
      </c>
    </row>
    <row r="737" spans="12:12" ht="15.75" customHeight="1">
      <c r="L737">
        <v>0</v>
      </c>
    </row>
    <row r="738" spans="12:12" ht="15.75" customHeight="1">
      <c r="L738">
        <v>0</v>
      </c>
    </row>
    <row r="739" spans="12:12" ht="15.75" customHeight="1">
      <c r="L739">
        <v>0</v>
      </c>
    </row>
    <row r="740" spans="12:12" ht="15.75" customHeight="1">
      <c r="L740">
        <v>0</v>
      </c>
    </row>
    <row r="741" spans="12:12" ht="15.75" customHeight="1">
      <c r="L741">
        <v>0</v>
      </c>
    </row>
    <row r="742" spans="12:12" ht="15.75" customHeight="1">
      <c r="L742">
        <v>0</v>
      </c>
    </row>
    <row r="743" spans="12:12" ht="15.75" customHeight="1">
      <c r="L743">
        <v>0</v>
      </c>
    </row>
    <row r="744" spans="12:12" ht="15.75" customHeight="1">
      <c r="L744">
        <v>0</v>
      </c>
    </row>
    <row r="745" spans="12:12" ht="15.75" customHeight="1">
      <c r="L745">
        <v>0</v>
      </c>
    </row>
    <row r="746" spans="12:12" ht="15.75" customHeight="1">
      <c r="L746">
        <v>0</v>
      </c>
    </row>
    <row r="747" spans="12:12" ht="15.75" customHeight="1">
      <c r="L747">
        <v>0</v>
      </c>
    </row>
    <row r="748" spans="12:12" ht="15.75" customHeight="1">
      <c r="L748">
        <v>0</v>
      </c>
    </row>
    <row r="749" spans="12:12" ht="15.75" customHeight="1">
      <c r="L749">
        <v>0</v>
      </c>
    </row>
    <row r="750" spans="12:12" ht="15.75" customHeight="1">
      <c r="L750">
        <v>0</v>
      </c>
    </row>
    <row r="751" spans="12:12" ht="15.75" customHeight="1">
      <c r="L751">
        <v>0</v>
      </c>
    </row>
    <row r="752" spans="12:12" ht="15.75" customHeight="1">
      <c r="L752">
        <v>0</v>
      </c>
    </row>
    <row r="753" spans="12:12" ht="15.75" customHeight="1">
      <c r="L753">
        <v>0</v>
      </c>
    </row>
    <row r="754" spans="12:12" ht="15.75" customHeight="1">
      <c r="L754">
        <v>0</v>
      </c>
    </row>
    <row r="755" spans="12:12" ht="15.75" customHeight="1">
      <c r="L755">
        <v>0</v>
      </c>
    </row>
    <row r="756" spans="12:12" ht="15.75" customHeight="1">
      <c r="L756">
        <v>0</v>
      </c>
    </row>
    <row r="757" spans="12:12" ht="15.75" customHeight="1">
      <c r="L757">
        <v>0</v>
      </c>
    </row>
    <row r="758" spans="12:12" ht="15.75" customHeight="1">
      <c r="L758">
        <v>0</v>
      </c>
    </row>
    <row r="759" spans="12:12" ht="15.75" customHeight="1">
      <c r="L759">
        <v>0</v>
      </c>
    </row>
    <row r="760" spans="12:12" ht="15.75" customHeight="1">
      <c r="L760">
        <v>0</v>
      </c>
    </row>
    <row r="761" spans="12:12" ht="15.75" customHeight="1">
      <c r="L761">
        <v>0</v>
      </c>
    </row>
    <row r="762" spans="12:12" ht="15.75" customHeight="1">
      <c r="L762">
        <v>0</v>
      </c>
    </row>
    <row r="763" spans="12:12" ht="15.75" customHeight="1">
      <c r="L763">
        <v>0</v>
      </c>
    </row>
    <row r="764" spans="12:12" ht="15.75" customHeight="1">
      <c r="L764">
        <v>0</v>
      </c>
    </row>
    <row r="765" spans="12:12" ht="15.75" customHeight="1">
      <c r="L765">
        <v>0</v>
      </c>
    </row>
    <row r="766" spans="12:12" ht="15.75" customHeight="1">
      <c r="L766">
        <v>0</v>
      </c>
    </row>
    <row r="767" spans="12:12" ht="15.75" customHeight="1">
      <c r="L767">
        <v>0</v>
      </c>
    </row>
    <row r="768" spans="12:12" ht="15.75" customHeight="1">
      <c r="L768">
        <v>0</v>
      </c>
    </row>
    <row r="769" spans="12:12" ht="15.75" customHeight="1">
      <c r="L769">
        <v>0</v>
      </c>
    </row>
    <row r="770" spans="12:12" ht="15.75" customHeight="1">
      <c r="L770">
        <v>0</v>
      </c>
    </row>
    <row r="771" spans="12:12" ht="15.75" customHeight="1">
      <c r="L771">
        <v>0</v>
      </c>
    </row>
    <row r="772" spans="12:12" ht="15.75" customHeight="1">
      <c r="L772">
        <v>0</v>
      </c>
    </row>
    <row r="773" spans="12:12" ht="15.75" customHeight="1">
      <c r="L773">
        <v>0</v>
      </c>
    </row>
    <row r="774" spans="12:12" ht="15.75" customHeight="1">
      <c r="L774">
        <v>0</v>
      </c>
    </row>
    <row r="775" spans="12:12" ht="15.75" customHeight="1">
      <c r="L775">
        <v>0</v>
      </c>
    </row>
    <row r="776" spans="12:12" ht="15.75" customHeight="1">
      <c r="L776">
        <v>0</v>
      </c>
    </row>
    <row r="777" spans="12:12" ht="15.75" customHeight="1">
      <c r="L777">
        <v>0</v>
      </c>
    </row>
    <row r="778" spans="12:12" ht="15.75" customHeight="1">
      <c r="L778">
        <v>0</v>
      </c>
    </row>
    <row r="779" spans="12:12" ht="15.75" customHeight="1">
      <c r="L779">
        <v>0</v>
      </c>
    </row>
    <row r="780" spans="12:12" ht="15.75" customHeight="1">
      <c r="L780">
        <v>0</v>
      </c>
    </row>
    <row r="781" spans="12:12" ht="15.75" customHeight="1">
      <c r="L781">
        <v>0</v>
      </c>
    </row>
    <row r="782" spans="12:12" ht="15.75" customHeight="1">
      <c r="L782">
        <v>0</v>
      </c>
    </row>
    <row r="783" spans="12:12" ht="15.75" customHeight="1">
      <c r="L783">
        <v>0</v>
      </c>
    </row>
    <row r="784" spans="12:12" ht="15.75" customHeight="1">
      <c r="L784">
        <v>0</v>
      </c>
    </row>
    <row r="785" spans="12:12" ht="15.75" customHeight="1">
      <c r="L785">
        <v>0</v>
      </c>
    </row>
    <row r="786" spans="12:12" ht="15.75" customHeight="1">
      <c r="L786">
        <v>0</v>
      </c>
    </row>
    <row r="787" spans="12:12" ht="15.75" customHeight="1">
      <c r="L787">
        <v>0</v>
      </c>
    </row>
    <row r="788" spans="12:12" ht="15.75" customHeight="1">
      <c r="L788">
        <v>0</v>
      </c>
    </row>
    <row r="789" spans="12:12" ht="15.75" customHeight="1">
      <c r="L789">
        <v>0</v>
      </c>
    </row>
    <row r="790" spans="12:12" ht="15.75" customHeight="1">
      <c r="L790">
        <v>0</v>
      </c>
    </row>
    <row r="791" spans="12:12" ht="15.75" customHeight="1">
      <c r="L791">
        <v>0</v>
      </c>
    </row>
    <row r="792" spans="12:12" ht="15.75" customHeight="1">
      <c r="L792">
        <v>0</v>
      </c>
    </row>
    <row r="793" spans="12:12" ht="15.75" customHeight="1">
      <c r="L793">
        <v>0</v>
      </c>
    </row>
    <row r="794" spans="12:12" ht="15.75" customHeight="1">
      <c r="L794">
        <v>0</v>
      </c>
    </row>
    <row r="795" spans="12:12" ht="15.75" customHeight="1">
      <c r="L795">
        <v>0</v>
      </c>
    </row>
    <row r="796" spans="12:12" ht="15.75" customHeight="1">
      <c r="L796">
        <v>0</v>
      </c>
    </row>
    <row r="797" spans="12:12" ht="15.75" customHeight="1">
      <c r="L797">
        <v>0</v>
      </c>
    </row>
    <row r="798" spans="12:12" ht="15.75" customHeight="1">
      <c r="L798">
        <v>0</v>
      </c>
    </row>
    <row r="799" spans="12:12" ht="15.75" customHeight="1">
      <c r="L799">
        <v>0</v>
      </c>
    </row>
    <row r="800" spans="12:12" ht="15.75" customHeight="1">
      <c r="L800">
        <v>0</v>
      </c>
    </row>
    <row r="801" spans="12:12" ht="15.75" customHeight="1">
      <c r="L801">
        <v>0</v>
      </c>
    </row>
    <row r="802" spans="12:12" ht="15.75" customHeight="1">
      <c r="L802">
        <v>0</v>
      </c>
    </row>
    <row r="803" spans="12:12" ht="15.75" customHeight="1">
      <c r="L803">
        <v>0</v>
      </c>
    </row>
    <row r="804" spans="12:12" ht="15.75" customHeight="1">
      <c r="L804">
        <v>0</v>
      </c>
    </row>
    <row r="805" spans="12:12" ht="15.75" customHeight="1">
      <c r="L805">
        <v>0</v>
      </c>
    </row>
    <row r="806" spans="12:12" ht="15.75" customHeight="1">
      <c r="L806">
        <v>0</v>
      </c>
    </row>
    <row r="807" spans="12:12" ht="15.75" customHeight="1">
      <c r="L807">
        <v>0</v>
      </c>
    </row>
    <row r="808" spans="12:12" ht="15.75" customHeight="1">
      <c r="L808">
        <v>0</v>
      </c>
    </row>
    <row r="809" spans="12:12" ht="15.75" customHeight="1">
      <c r="L809">
        <v>0</v>
      </c>
    </row>
    <row r="810" spans="12:12" ht="15.75" customHeight="1">
      <c r="L810">
        <v>0</v>
      </c>
    </row>
    <row r="811" spans="12:12" ht="15.75" customHeight="1">
      <c r="L811">
        <v>0</v>
      </c>
    </row>
    <row r="812" spans="12:12" ht="15.75" customHeight="1">
      <c r="L812">
        <v>0</v>
      </c>
    </row>
    <row r="813" spans="12:12" ht="15.75" customHeight="1">
      <c r="L813">
        <v>0</v>
      </c>
    </row>
    <row r="814" spans="12:12" ht="15.75" customHeight="1">
      <c r="L814">
        <v>0</v>
      </c>
    </row>
    <row r="815" spans="12:12" ht="15.75" customHeight="1">
      <c r="L815">
        <v>0</v>
      </c>
    </row>
    <row r="816" spans="12:12" ht="15.75" customHeight="1">
      <c r="L816">
        <v>0</v>
      </c>
    </row>
    <row r="817" spans="12:12" ht="15.75" customHeight="1">
      <c r="L817">
        <v>0</v>
      </c>
    </row>
    <row r="818" spans="12:12" ht="15.75" customHeight="1">
      <c r="L818">
        <v>0</v>
      </c>
    </row>
    <row r="819" spans="12:12" ht="15.75" customHeight="1">
      <c r="L819">
        <v>0</v>
      </c>
    </row>
    <row r="820" spans="12:12" ht="15.75" customHeight="1">
      <c r="L820">
        <v>0</v>
      </c>
    </row>
    <row r="821" spans="12:12" ht="15.75" customHeight="1">
      <c r="L821">
        <v>0</v>
      </c>
    </row>
    <row r="822" spans="12:12" ht="15.75" customHeight="1">
      <c r="L822">
        <v>0</v>
      </c>
    </row>
    <row r="823" spans="12:12" ht="15.75" customHeight="1">
      <c r="L823">
        <v>0</v>
      </c>
    </row>
    <row r="824" spans="12:12" ht="15.75" customHeight="1">
      <c r="L824">
        <v>0</v>
      </c>
    </row>
    <row r="825" spans="12:12" ht="15.75" customHeight="1">
      <c r="L825">
        <v>0</v>
      </c>
    </row>
    <row r="826" spans="12:12" ht="15.75" customHeight="1">
      <c r="L826">
        <v>0</v>
      </c>
    </row>
    <row r="827" spans="12:12" ht="15.75" customHeight="1">
      <c r="L827">
        <v>0</v>
      </c>
    </row>
    <row r="828" spans="12:12" ht="15.75" customHeight="1">
      <c r="L828">
        <v>0</v>
      </c>
    </row>
    <row r="829" spans="12:12" ht="15.75" customHeight="1">
      <c r="L829">
        <v>0</v>
      </c>
    </row>
    <row r="830" spans="12:12" ht="15.75" customHeight="1">
      <c r="L830">
        <v>0</v>
      </c>
    </row>
    <row r="831" spans="12:12" ht="15.75" customHeight="1">
      <c r="L831">
        <v>0</v>
      </c>
    </row>
    <row r="832" spans="12:12" ht="15.75" customHeight="1">
      <c r="L832">
        <v>0</v>
      </c>
    </row>
    <row r="833" spans="12:12" ht="15.75" customHeight="1">
      <c r="L833">
        <v>0</v>
      </c>
    </row>
    <row r="834" spans="12:12" ht="15.75" customHeight="1">
      <c r="L834">
        <v>0</v>
      </c>
    </row>
    <row r="835" spans="12:12" ht="15.75" customHeight="1">
      <c r="L835">
        <v>0</v>
      </c>
    </row>
    <row r="836" spans="12:12" ht="15.75" customHeight="1">
      <c r="L836">
        <v>0</v>
      </c>
    </row>
    <row r="837" spans="12:12" ht="15.75" customHeight="1">
      <c r="L837">
        <v>0</v>
      </c>
    </row>
    <row r="838" spans="12:12" ht="15.75" customHeight="1">
      <c r="L838">
        <v>0</v>
      </c>
    </row>
    <row r="839" spans="12:12" ht="15.75" customHeight="1">
      <c r="L839">
        <v>0</v>
      </c>
    </row>
    <row r="840" spans="12:12" ht="15.75" customHeight="1">
      <c r="L840">
        <v>0</v>
      </c>
    </row>
    <row r="841" spans="12:12" ht="15.75" customHeight="1">
      <c r="L841">
        <v>0</v>
      </c>
    </row>
    <row r="842" spans="12:12" ht="15.75" customHeight="1">
      <c r="L842">
        <v>0</v>
      </c>
    </row>
    <row r="843" spans="12:12" ht="15.75" customHeight="1">
      <c r="L843">
        <v>0</v>
      </c>
    </row>
    <row r="844" spans="12:12" ht="15.75" customHeight="1">
      <c r="L844">
        <v>0</v>
      </c>
    </row>
    <row r="845" spans="12:12" ht="15.75" customHeight="1">
      <c r="L845">
        <v>0</v>
      </c>
    </row>
    <row r="846" spans="12:12" ht="15.75" customHeight="1">
      <c r="L846">
        <v>0</v>
      </c>
    </row>
    <row r="847" spans="12:12" ht="15.75" customHeight="1">
      <c r="L847">
        <v>0</v>
      </c>
    </row>
    <row r="848" spans="12:12" ht="15.75" customHeight="1">
      <c r="L848">
        <v>0</v>
      </c>
    </row>
    <row r="849" spans="12:12" ht="15.75" customHeight="1">
      <c r="L849">
        <v>0</v>
      </c>
    </row>
    <row r="850" spans="12:12" ht="15.75" customHeight="1">
      <c r="L850">
        <v>0</v>
      </c>
    </row>
    <row r="851" spans="12:12" ht="15.75" customHeight="1">
      <c r="L851">
        <v>0</v>
      </c>
    </row>
    <row r="852" spans="12:12" ht="15.75" customHeight="1">
      <c r="L852">
        <v>0</v>
      </c>
    </row>
    <row r="853" spans="12:12" ht="15.75" customHeight="1">
      <c r="L853">
        <v>0</v>
      </c>
    </row>
    <row r="854" spans="12:12" ht="15.75" customHeight="1">
      <c r="L854">
        <v>0</v>
      </c>
    </row>
    <row r="855" spans="12:12" ht="15.75" customHeight="1">
      <c r="L855">
        <v>0</v>
      </c>
    </row>
    <row r="856" spans="12:12" ht="15.75" customHeight="1">
      <c r="L856">
        <v>0</v>
      </c>
    </row>
    <row r="857" spans="12:12" ht="15.75" customHeight="1">
      <c r="L857">
        <v>0</v>
      </c>
    </row>
    <row r="858" spans="12:12" ht="15.75" customHeight="1">
      <c r="L858">
        <v>0</v>
      </c>
    </row>
    <row r="859" spans="12:12" ht="15.75" customHeight="1">
      <c r="L859">
        <v>0</v>
      </c>
    </row>
    <row r="860" spans="12:12" ht="15.75" customHeight="1">
      <c r="L860">
        <v>0</v>
      </c>
    </row>
    <row r="861" spans="12:12" ht="15.75" customHeight="1">
      <c r="L861">
        <v>0</v>
      </c>
    </row>
    <row r="862" spans="12:12" ht="15.75" customHeight="1">
      <c r="L862">
        <v>0</v>
      </c>
    </row>
    <row r="863" spans="12:12" ht="15.75" customHeight="1">
      <c r="L863">
        <v>0</v>
      </c>
    </row>
    <row r="864" spans="12:12" ht="15.75" customHeight="1">
      <c r="L864">
        <v>0</v>
      </c>
    </row>
    <row r="865" spans="12:12" ht="15.75" customHeight="1">
      <c r="L865">
        <v>0</v>
      </c>
    </row>
    <row r="866" spans="12:12" ht="15.75" customHeight="1">
      <c r="L866">
        <v>0</v>
      </c>
    </row>
    <row r="867" spans="12:12" ht="15.75" customHeight="1">
      <c r="L867">
        <v>0</v>
      </c>
    </row>
    <row r="868" spans="12:12" ht="15.75" customHeight="1">
      <c r="L868">
        <v>0</v>
      </c>
    </row>
    <row r="869" spans="12:12" ht="15.75" customHeight="1">
      <c r="L869">
        <v>0</v>
      </c>
    </row>
    <row r="870" spans="12:12" ht="15.75" customHeight="1">
      <c r="L870">
        <v>0</v>
      </c>
    </row>
    <row r="871" spans="12:12" ht="15.75" customHeight="1">
      <c r="L871">
        <v>0</v>
      </c>
    </row>
    <row r="872" spans="12:12" ht="15.75" customHeight="1">
      <c r="L872">
        <v>0</v>
      </c>
    </row>
    <row r="873" spans="12:12" ht="15.75" customHeight="1">
      <c r="L873">
        <v>0</v>
      </c>
    </row>
    <row r="874" spans="12:12" ht="15.75" customHeight="1">
      <c r="L874">
        <v>0</v>
      </c>
    </row>
    <row r="875" spans="12:12" ht="15.75" customHeight="1">
      <c r="L875">
        <v>0</v>
      </c>
    </row>
    <row r="876" spans="12:12" ht="15.75" customHeight="1">
      <c r="L876">
        <v>0</v>
      </c>
    </row>
    <row r="877" spans="12:12" ht="15.75" customHeight="1">
      <c r="L877">
        <v>0</v>
      </c>
    </row>
    <row r="878" spans="12:12" ht="15.75" customHeight="1">
      <c r="L878">
        <v>0</v>
      </c>
    </row>
    <row r="879" spans="12:12" ht="15.75" customHeight="1">
      <c r="L879">
        <v>0</v>
      </c>
    </row>
    <row r="880" spans="12:12" ht="15.75" customHeight="1">
      <c r="L880">
        <v>0</v>
      </c>
    </row>
    <row r="881" spans="12:12" ht="15.75" customHeight="1">
      <c r="L881">
        <v>0</v>
      </c>
    </row>
    <row r="882" spans="12:12" ht="15.75" customHeight="1">
      <c r="L882">
        <v>0</v>
      </c>
    </row>
    <row r="883" spans="12:12" ht="15.75" customHeight="1">
      <c r="L883">
        <v>0</v>
      </c>
    </row>
    <row r="884" spans="12:12" ht="15.75" customHeight="1">
      <c r="L884">
        <v>0</v>
      </c>
    </row>
    <row r="885" spans="12:12" ht="15.75" customHeight="1">
      <c r="L885">
        <v>0</v>
      </c>
    </row>
    <row r="886" spans="12:12" ht="15.75" customHeight="1">
      <c r="L886">
        <v>0</v>
      </c>
    </row>
    <row r="887" spans="12:12" ht="15.75" customHeight="1">
      <c r="L887">
        <v>0</v>
      </c>
    </row>
    <row r="888" spans="12:12" ht="15.75" customHeight="1">
      <c r="L888">
        <v>0</v>
      </c>
    </row>
    <row r="889" spans="12:12" ht="15.75" customHeight="1">
      <c r="L889">
        <v>0</v>
      </c>
    </row>
    <row r="890" spans="12:12" ht="15.75" customHeight="1">
      <c r="L890">
        <v>0</v>
      </c>
    </row>
    <row r="891" spans="12:12" ht="15.75" customHeight="1">
      <c r="L891">
        <v>0</v>
      </c>
    </row>
    <row r="892" spans="12:12" ht="15.75" customHeight="1">
      <c r="L892">
        <v>0</v>
      </c>
    </row>
    <row r="893" spans="12:12" ht="15.75" customHeight="1">
      <c r="L893">
        <v>0</v>
      </c>
    </row>
    <row r="894" spans="12:12" ht="15.75" customHeight="1">
      <c r="L894">
        <v>0</v>
      </c>
    </row>
    <row r="895" spans="12:12" ht="15.75" customHeight="1">
      <c r="L895">
        <v>0</v>
      </c>
    </row>
    <row r="896" spans="12:12" ht="15.75" customHeight="1">
      <c r="L896">
        <v>0</v>
      </c>
    </row>
    <row r="897" spans="12:12" ht="15.75" customHeight="1">
      <c r="L897">
        <v>0</v>
      </c>
    </row>
    <row r="898" spans="12:12" ht="15.75" customHeight="1">
      <c r="L898">
        <v>0</v>
      </c>
    </row>
    <row r="899" spans="12:12" ht="15.75" customHeight="1">
      <c r="L899">
        <v>0</v>
      </c>
    </row>
    <row r="900" spans="12:12" ht="15.75" customHeight="1">
      <c r="L900">
        <v>0</v>
      </c>
    </row>
    <row r="901" spans="12:12" ht="15.75" customHeight="1">
      <c r="L901">
        <v>0</v>
      </c>
    </row>
    <row r="902" spans="12:12" ht="15.75" customHeight="1">
      <c r="L902">
        <v>0</v>
      </c>
    </row>
    <row r="903" spans="12:12" ht="15.75" customHeight="1">
      <c r="L903">
        <v>0</v>
      </c>
    </row>
    <row r="904" spans="12:12" ht="15.75" customHeight="1">
      <c r="L904">
        <v>0</v>
      </c>
    </row>
    <row r="905" spans="12:12" ht="15.75" customHeight="1">
      <c r="L905">
        <v>0</v>
      </c>
    </row>
    <row r="906" spans="12:12" ht="15.75" customHeight="1">
      <c r="L906">
        <v>0</v>
      </c>
    </row>
    <row r="907" spans="12:12" ht="15.75" customHeight="1">
      <c r="L907">
        <v>0</v>
      </c>
    </row>
    <row r="908" spans="12:12" ht="15.75" customHeight="1">
      <c r="L908">
        <v>0</v>
      </c>
    </row>
    <row r="909" spans="12:12" ht="15.75" customHeight="1">
      <c r="L909">
        <v>0</v>
      </c>
    </row>
    <row r="910" spans="12:12" ht="15.75" customHeight="1">
      <c r="L910">
        <v>0</v>
      </c>
    </row>
    <row r="911" spans="12:12" ht="15.75" customHeight="1">
      <c r="L911">
        <v>0</v>
      </c>
    </row>
    <row r="912" spans="12:12" ht="15.75" customHeight="1">
      <c r="L912">
        <v>0</v>
      </c>
    </row>
    <row r="913" spans="12:12" ht="15.75" customHeight="1">
      <c r="L913">
        <v>0</v>
      </c>
    </row>
    <row r="914" spans="12:12" ht="15.75" customHeight="1">
      <c r="L914">
        <v>0</v>
      </c>
    </row>
    <row r="915" spans="12:12" ht="15.75" customHeight="1">
      <c r="L915">
        <v>0</v>
      </c>
    </row>
    <row r="916" spans="12:12" ht="15.75" customHeight="1">
      <c r="L916">
        <v>0</v>
      </c>
    </row>
    <row r="917" spans="12:12" ht="15.75" customHeight="1">
      <c r="L917">
        <v>0</v>
      </c>
    </row>
    <row r="918" spans="12:12" ht="15.75" customHeight="1">
      <c r="L918">
        <v>0</v>
      </c>
    </row>
    <row r="919" spans="12:12" ht="15.75" customHeight="1">
      <c r="L919">
        <v>0</v>
      </c>
    </row>
    <row r="920" spans="12:12" ht="15.75" customHeight="1">
      <c r="L920">
        <v>0</v>
      </c>
    </row>
    <row r="921" spans="12:12" ht="15.75" customHeight="1">
      <c r="L921">
        <v>0</v>
      </c>
    </row>
    <row r="922" spans="12:12" ht="15.75" customHeight="1">
      <c r="L922">
        <v>0</v>
      </c>
    </row>
    <row r="923" spans="12:12" ht="15.75" customHeight="1">
      <c r="L923">
        <v>0</v>
      </c>
    </row>
    <row r="924" spans="12:12" ht="15.75" customHeight="1">
      <c r="L924">
        <v>0</v>
      </c>
    </row>
    <row r="925" spans="12:12" ht="15.75" customHeight="1">
      <c r="L925">
        <v>0</v>
      </c>
    </row>
    <row r="926" spans="12:12" ht="15.75" customHeight="1">
      <c r="L926">
        <v>0</v>
      </c>
    </row>
    <row r="927" spans="12:12" ht="15.75" customHeight="1">
      <c r="L927">
        <v>0</v>
      </c>
    </row>
    <row r="928" spans="12:12" ht="15.75" customHeight="1">
      <c r="L928">
        <v>0</v>
      </c>
    </row>
    <row r="929" spans="12:12" ht="15.75" customHeight="1">
      <c r="L929">
        <v>0</v>
      </c>
    </row>
    <row r="930" spans="12:12" ht="15.75" customHeight="1">
      <c r="L930">
        <v>0</v>
      </c>
    </row>
    <row r="931" spans="12:12" ht="15.75" customHeight="1">
      <c r="L931">
        <v>0</v>
      </c>
    </row>
    <row r="932" spans="12:12" ht="15.75" customHeight="1">
      <c r="L932">
        <v>0</v>
      </c>
    </row>
    <row r="933" spans="12:12" ht="15.75" customHeight="1">
      <c r="L933">
        <v>0</v>
      </c>
    </row>
    <row r="934" spans="12:12" ht="15.75" customHeight="1">
      <c r="L934">
        <v>0</v>
      </c>
    </row>
    <row r="935" spans="12:12" ht="15.75" customHeight="1">
      <c r="L935">
        <v>0</v>
      </c>
    </row>
    <row r="936" spans="12:12" ht="15.75" customHeight="1">
      <c r="L936">
        <v>0</v>
      </c>
    </row>
    <row r="937" spans="12:12" ht="15.75" customHeight="1">
      <c r="L937">
        <v>0</v>
      </c>
    </row>
    <row r="938" spans="12:12" ht="15.75" customHeight="1">
      <c r="L938">
        <v>0</v>
      </c>
    </row>
    <row r="939" spans="12:12" ht="15.75" customHeight="1">
      <c r="L939">
        <v>0</v>
      </c>
    </row>
    <row r="940" spans="12:12" ht="15.75" customHeight="1">
      <c r="L940">
        <v>0</v>
      </c>
    </row>
    <row r="941" spans="12:12" ht="15.75" customHeight="1">
      <c r="L941">
        <v>0</v>
      </c>
    </row>
    <row r="942" spans="12:12" ht="15.75" customHeight="1">
      <c r="L942">
        <v>0</v>
      </c>
    </row>
    <row r="943" spans="12:12" ht="15.75" customHeight="1">
      <c r="L943">
        <v>0</v>
      </c>
    </row>
    <row r="944" spans="12:12" ht="15.75" customHeight="1">
      <c r="L944">
        <v>0</v>
      </c>
    </row>
    <row r="945" spans="12:12" ht="15.75" customHeight="1">
      <c r="L945">
        <v>0</v>
      </c>
    </row>
    <row r="946" spans="12:12" ht="15.75" customHeight="1">
      <c r="L946">
        <v>0</v>
      </c>
    </row>
    <row r="947" spans="12:12" ht="15.75" customHeight="1">
      <c r="L947">
        <v>0</v>
      </c>
    </row>
    <row r="948" spans="12:12" ht="15.75" customHeight="1">
      <c r="L948">
        <v>0</v>
      </c>
    </row>
    <row r="949" spans="12:12" ht="15.75" customHeight="1">
      <c r="L949">
        <v>0</v>
      </c>
    </row>
    <row r="950" spans="12:12" ht="15.75" customHeight="1">
      <c r="L950">
        <v>0</v>
      </c>
    </row>
    <row r="951" spans="12:12" ht="15.75" customHeight="1">
      <c r="L951">
        <v>0</v>
      </c>
    </row>
    <row r="952" spans="12:12" ht="15.75" customHeight="1">
      <c r="L952">
        <v>0</v>
      </c>
    </row>
    <row r="953" spans="12:12" ht="15.75" customHeight="1">
      <c r="L953">
        <v>0</v>
      </c>
    </row>
    <row r="954" spans="12:12" ht="15.75" customHeight="1">
      <c r="L954">
        <v>0</v>
      </c>
    </row>
    <row r="955" spans="12:12" ht="15.75" customHeight="1">
      <c r="L955">
        <v>0</v>
      </c>
    </row>
    <row r="956" spans="12:12" ht="15.75" customHeight="1">
      <c r="L956">
        <v>0</v>
      </c>
    </row>
    <row r="957" spans="12:12" ht="15.75" customHeight="1">
      <c r="L957">
        <v>0</v>
      </c>
    </row>
    <row r="958" spans="12:12" ht="15.75" customHeight="1">
      <c r="L958">
        <v>0</v>
      </c>
    </row>
    <row r="959" spans="12:12" ht="15.75" customHeight="1">
      <c r="L959">
        <v>0</v>
      </c>
    </row>
    <row r="960" spans="12:12" ht="15.75" customHeight="1">
      <c r="L960">
        <v>0</v>
      </c>
    </row>
    <row r="961" spans="12:12" ht="15.75" customHeight="1">
      <c r="L961">
        <v>0</v>
      </c>
    </row>
    <row r="962" spans="12:12" ht="15.75" customHeight="1">
      <c r="L962">
        <v>0</v>
      </c>
    </row>
    <row r="963" spans="12:12" ht="15.75" customHeight="1">
      <c r="L963">
        <v>0</v>
      </c>
    </row>
    <row r="964" spans="12:12" ht="15.75" customHeight="1">
      <c r="L964">
        <v>0</v>
      </c>
    </row>
    <row r="965" spans="12:12" ht="15.75" customHeight="1">
      <c r="L965">
        <v>0</v>
      </c>
    </row>
    <row r="966" spans="12:12" ht="15.75" customHeight="1">
      <c r="L966">
        <v>0</v>
      </c>
    </row>
    <row r="967" spans="12:12" ht="15.75" customHeight="1">
      <c r="L967">
        <v>0</v>
      </c>
    </row>
    <row r="968" spans="12:12" ht="15.75" customHeight="1">
      <c r="L968">
        <v>0</v>
      </c>
    </row>
    <row r="969" spans="12:12" ht="15.75" customHeight="1">
      <c r="L969">
        <v>0</v>
      </c>
    </row>
    <row r="970" spans="12:12" ht="15.75" customHeight="1">
      <c r="L970">
        <v>0</v>
      </c>
    </row>
    <row r="971" spans="12:12" ht="15.75" customHeight="1">
      <c r="L971">
        <v>0</v>
      </c>
    </row>
    <row r="972" spans="12:12" ht="15.75" customHeight="1">
      <c r="L972">
        <v>0</v>
      </c>
    </row>
    <row r="973" spans="12:12" ht="15.75" customHeight="1">
      <c r="L973">
        <v>0</v>
      </c>
    </row>
    <row r="974" spans="12:12" ht="15.75" customHeight="1">
      <c r="L974">
        <v>0</v>
      </c>
    </row>
    <row r="975" spans="12:12" ht="15.75" customHeight="1">
      <c r="L975">
        <v>0</v>
      </c>
    </row>
    <row r="976" spans="12:12" ht="15.75" customHeight="1">
      <c r="L976">
        <v>0</v>
      </c>
    </row>
    <row r="977" spans="12:12" ht="15.75" customHeight="1">
      <c r="L977">
        <v>0</v>
      </c>
    </row>
    <row r="978" spans="12:12" ht="15.75" customHeight="1">
      <c r="L978">
        <v>0</v>
      </c>
    </row>
    <row r="979" spans="12:12" ht="15.75" customHeight="1">
      <c r="L979">
        <v>0</v>
      </c>
    </row>
    <row r="980" spans="12:12" ht="15.75" customHeight="1">
      <c r="L980">
        <v>0</v>
      </c>
    </row>
    <row r="981" spans="12:12" ht="15.75" customHeight="1">
      <c r="L981">
        <v>0</v>
      </c>
    </row>
    <row r="982" spans="12:12" ht="15.75" customHeight="1">
      <c r="L982">
        <v>0</v>
      </c>
    </row>
    <row r="983" spans="12:12" ht="15.75" customHeight="1">
      <c r="L983">
        <v>0</v>
      </c>
    </row>
    <row r="984" spans="12:12" ht="15.75" customHeight="1">
      <c r="L984">
        <v>0</v>
      </c>
    </row>
    <row r="985" spans="12:12" ht="15.75" customHeight="1">
      <c r="L985">
        <v>0</v>
      </c>
    </row>
    <row r="986" spans="12:12" ht="15.75" customHeight="1">
      <c r="L986">
        <v>0</v>
      </c>
    </row>
    <row r="987" spans="12:12" ht="15.75" customHeight="1">
      <c r="L987">
        <v>0</v>
      </c>
    </row>
    <row r="988" spans="12:12" ht="15.75" customHeight="1">
      <c r="L988">
        <v>0</v>
      </c>
    </row>
    <row r="989" spans="12:12" ht="15.75" customHeight="1">
      <c r="L989">
        <v>0</v>
      </c>
    </row>
    <row r="990" spans="12:12" ht="15.75" customHeight="1">
      <c r="L990">
        <v>0</v>
      </c>
    </row>
    <row r="991" spans="12:12" ht="15.75" customHeight="1">
      <c r="L991">
        <v>0</v>
      </c>
    </row>
    <row r="992" spans="12:12" ht="15.75" customHeight="1">
      <c r="L992">
        <v>0</v>
      </c>
    </row>
    <row r="993" spans="12:12" ht="15.75" customHeight="1">
      <c r="L993">
        <v>0</v>
      </c>
    </row>
    <row r="994" spans="12:12" ht="15.75" customHeight="1">
      <c r="L994">
        <v>0</v>
      </c>
    </row>
    <row r="995" spans="12:12" ht="15.75" customHeight="1">
      <c r="L995">
        <v>0</v>
      </c>
    </row>
    <row r="996" spans="12:12" ht="15.75" customHeight="1">
      <c r="L996">
        <v>0</v>
      </c>
    </row>
    <row r="997" spans="12:12" ht="15.75" customHeight="1">
      <c r="L997">
        <v>0</v>
      </c>
    </row>
    <row r="998" spans="12:12" ht="15.75" customHeight="1">
      <c r="L998">
        <v>0</v>
      </c>
    </row>
    <row r="999" spans="12:12" ht="15.75" customHeight="1">
      <c r="L999">
        <v>0</v>
      </c>
    </row>
    <row r="1000" spans="12:12" ht="15.75" customHeight="1">
      <c r="L100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6"/>
  <sheetViews>
    <sheetView tabSelected="1" workbookViewId="0">
      <pane ySplit="1" topLeftCell="A71" activePane="bottomLeft" state="frozen"/>
      <selection pane="bottomLeft"/>
    </sheetView>
  </sheetViews>
  <sheetFormatPr defaultColWidth="14.42578125" defaultRowHeight="15.75" customHeight="1"/>
  <cols>
    <col min="1" max="1" width="20.85546875" customWidth="1"/>
    <col min="2" max="2" width="57.5703125" customWidth="1"/>
    <col min="3" max="3" width="16.7109375" customWidth="1"/>
    <col min="4" max="4" width="27.140625" customWidth="1"/>
  </cols>
  <sheetData>
    <row r="1" spans="1:4" ht="15.75" customHeight="1">
      <c r="A1" s="1" t="str">
        <f ca="1">IFERROR(__xludf.DUMMYFUNCTION("FILTER({MASTER!B1,MASTER!H1,MASTER!K1:L1},1=1)"),"SET SCHEDULE")</f>
        <v>SET SCHEDULE</v>
      </c>
      <c r="B1" s="1" t="s">
        <v>4</v>
      </c>
      <c r="C1" s="1" t="s">
        <v>0</v>
      </c>
      <c r="D1" s="1" t="s">
        <v>1</v>
      </c>
    </row>
    <row r="2" spans="1:4" ht="15.75" customHeight="1">
      <c r="A2" s="11" t="str">
        <f ca="1">IFERROR(__xludf.DUMMYFUNCTION("SORT(FILTER({MASTER!B:B,MASTER!H:H,MASTER!K:L},MASTER!M:M=""UNKNOWN""),4,TRUE)"),"SET SCHEDULE")</f>
        <v>SET SCHEDULE</v>
      </c>
      <c r="B2" t="s">
        <v>11</v>
      </c>
      <c r="C2" t="s">
        <v>12</v>
      </c>
      <c r="D2" t="s">
        <v>13</v>
      </c>
    </row>
    <row r="3" spans="1:4" ht="15.75" customHeight="1">
      <c r="A3" s="11" t="s">
        <v>17</v>
      </c>
      <c r="B3" t="s">
        <v>18</v>
      </c>
      <c r="C3" t="s">
        <v>19</v>
      </c>
      <c r="D3" t="s">
        <v>13</v>
      </c>
    </row>
    <row r="4" spans="1:4" ht="15.75" customHeight="1">
      <c r="A4" s="11" t="s">
        <v>17</v>
      </c>
      <c r="B4" t="s">
        <v>20</v>
      </c>
      <c r="C4" t="s">
        <v>21</v>
      </c>
      <c r="D4" t="s">
        <v>13</v>
      </c>
    </row>
    <row r="5" spans="1:4" ht="15.75" customHeight="1">
      <c r="A5" s="11" t="s">
        <v>17</v>
      </c>
      <c r="B5" t="s">
        <v>22</v>
      </c>
      <c r="C5" t="s">
        <v>23</v>
      </c>
      <c r="D5" t="s">
        <v>13</v>
      </c>
    </row>
    <row r="6" spans="1:4" ht="15.75" customHeight="1">
      <c r="A6" s="11" t="s">
        <v>17</v>
      </c>
      <c r="B6" t="s">
        <v>24</v>
      </c>
      <c r="C6" t="s">
        <v>25</v>
      </c>
      <c r="D6" t="s">
        <v>13</v>
      </c>
    </row>
    <row r="7" spans="1:4" ht="15.75" customHeight="1">
      <c r="A7" s="11" t="s">
        <v>17</v>
      </c>
      <c r="B7" t="s">
        <v>26</v>
      </c>
      <c r="C7" t="s">
        <v>27</v>
      </c>
      <c r="D7" t="s">
        <v>13</v>
      </c>
    </row>
    <row r="8" spans="1:4" ht="15.75" customHeight="1">
      <c r="A8" s="11" t="s">
        <v>17</v>
      </c>
      <c r="B8" t="s">
        <v>28</v>
      </c>
      <c r="C8" t="s">
        <v>29</v>
      </c>
      <c r="D8" t="s">
        <v>13</v>
      </c>
    </row>
    <row r="9" spans="1:4" ht="15.75" customHeight="1">
      <c r="A9" s="11" t="s">
        <v>17</v>
      </c>
      <c r="B9" t="s">
        <v>30</v>
      </c>
      <c r="C9" t="s">
        <v>31</v>
      </c>
      <c r="D9" t="s">
        <v>13</v>
      </c>
    </row>
    <row r="10" spans="1:4" ht="15.75" customHeight="1">
      <c r="A10" s="11" t="s">
        <v>17</v>
      </c>
      <c r="B10" t="s">
        <v>33</v>
      </c>
      <c r="C10" t="s">
        <v>34</v>
      </c>
      <c r="D10" t="s">
        <v>13</v>
      </c>
    </row>
    <row r="11" spans="1:4" ht="15.75" customHeight="1">
      <c r="A11" s="11" t="s">
        <v>17</v>
      </c>
      <c r="B11" t="s">
        <v>36</v>
      </c>
      <c r="C11" t="s">
        <v>37</v>
      </c>
      <c r="D11" t="s">
        <v>13</v>
      </c>
    </row>
    <row r="12" spans="1:4" ht="15.75" customHeight="1">
      <c r="A12" s="11" t="s">
        <v>17</v>
      </c>
      <c r="B12" t="s">
        <v>38</v>
      </c>
      <c r="C12" t="s">
        <v>42</v>
      </c>
      <c r="D12" t="s">
        <v>13</v>
      </c>
    </row>
    <row r="13" spans="1:4" ht="15.75" customHeight="1">
      <c r="A13" s="11" t="s">
        <v>17</v>
      </c>
      <c r="B13" t="s">
        <v>49</v>
      </c>
      <c r="C13" t="s">
        <v>51</v>
      </c>
      <c r="D13" t="s">
        <v>13</v>
      </c>
    </row>
    <row r="14" spans="1:4" ht="15.75" customHeight="1">
      <c r="A14" s="11" t="s">
        <v>17</v>
      </c>
      <c r="B14" t="s">
        <v>64</v>
      </c>
      <c r="C14" t="s">
        <v>65</v>
      </c>
      <c r="D14" t="s">
        <v>13</v>
      </c>
    </row>
    <row r="15" spans="1:4" ht="15.75" customHeight="1">
      <c r="A15" s="11" t="s">
        <v>17</v>
      </c>
      <c r="B15" t="s">
        <v>66</v>
      </c>
      <c r="C15" t="s">
        <v>67</v>
      </c>
      <c r="D15" t="s">
        <v>13</v>
      </c>
    </row>
    <row r="16" spans="1:4" ht="15.75" customHeight="1">
      <c r="A16" s="11" t="s">
        <v>17</v>
      </c>
      <c r="B16" t="s">
        <v>68</v>
      </c>
      <c r="C16" t="s">
        <v>69</v>
      </c>
      <c r="D16" t="s">
        <v>13</v>
      </c>
    </row>
    <row r="17" spans="1:4" ht="15.75" customHeight="1">
      <c r="A17" s="11" t="s">
        <v>17</v>
      </c>
      <c r="B17" t="s">
        <v>70</v>
      </c>
      <c r="C17" t="s">
        <v>71</v>
      </c>
      <c r="D17" t="s">
        <v>13</v>
      </c>
    </row>
    <row r="18" spans="1:4" ht="15.75" customHeight="1">
      <c r="A18" s="11" t="s">
        <v>17</v>
      </c>
      <c r="B18" t="s">
        <v>72</v>
      </c>
      <c r="C18" t="s">
        <v>73</v>
      </c>
      <c r="D18" t="s">
        <v>13</v>
      </c>
    </row>
    <row r="19" spans="1:4" ht="15.75" customHeight="1">
      <c r="A19" s="11" t="s">
        <v>17</v>
      </c>
      <c r="B19" t="s">
        <v>74</v>
      </c>
      <c r="C19" t="s">
        <v>75</v>
      </c>
      <c r="D19" t="s">
        <v>58</v>
      </c>
    </row>
    <row r="20" spans="1:4" ht="15.75" customHeight="1">
      <c r="A20" s="11" t="s">
        <v>17</v>
      </c>
      <c r="B20" t="s">
        <v>76</v>
      </c>
      <c r="C20" t="s">
        <v>77</v>
      </c>
      <c r="D20" t="s">
        <v>58</v>
      </c>
    </row>
    <row r="21" spans="1:4" ht="15.75" customHeight="1">
      <c r="A21" s="11" t="s">
        <v>17</v>
      </c>
      <c r="B21" t="s">
        <v>78</v>
      </c>
      <c r="C21" t="s">
        <v>79</v>
      </c>
      <c r="D21" t="s">
        <v>50</v>
      </c>
    </row>
    <row r="22" spans="1:4" ht="15.75" customHeight="1">
      <c r="A22" s="11" t="s">
        <v>17</v>
      </c>
      <c r="B22" t="s">
        <v>80</v>
      </c>
      <c r="C22" t="s">
        <v>81</v>
      </c>
      <c r="D22" t="s">
        <v>50</v>
      </c>
    </row>
    <row r="23" spans="1:4" ht="15.75" customHeight="1">
      <c r="A23" s="11" t="s">
        <v>17</v>
      </c>
      <c r="B23" t="s">
        <v>86</v>
      </c>
      <c r="C23" t="s">
        <v>88</v>
      </c>
      <c r="D23" t="s">
        <v>50</v>
      </c>
    </row>
    <row r="24" spans="1:4" ht="15.75" customHeight="1">
      <c r="A24" s="11" t="s">
        <v>17</v>
      </c>
      <c r="B24" t="s">
        <v>90</v>
      </c>
      <c r="C24" t="s">
        <v>91</v>
      </c>
      <c r="D24" t="s">
        <v>50</v>
      </c>
    </row>
    <row r="25" spans="1:4" ht="15.75" customHeight="1">
      <c r="A25" s="11" t="s">
        <v>17</v>
      </c>
      <c r="B25" t="s">
        <v>92</v>
      </c>
      <c r="C25" t="s">
        <v>93</v>
      </c>
      <c r="D25" t="s">
        <v>48</v>
      </c>
    </row>
    <row r="26" spans="1:4" ht="15.75" customHeight="1">
      <c r="A26" s="11" t="s">
        <v>17</v>
      </c>
      <c r="B26" t="s">
        <v>94</v>
      </c>
      <c r="C26" t="s">
        <v>95</v>
      </c>
      <c r="D26" t="s">
        <v>48</v>
      </c>
    </row>
    <row r="27" spans="1:4" ht="15.75" customHeight="1">
      <c r="A27" s="11" t="s">
        <v>17</v>
      </c>
      <c r="B27" t="s">
        <v>96</v>
      </c>
      <c r="C27" t="s">
        <v>97</v>
      </c>
      <c r="D27" t="s">
        <v>48</v>
      </c>
    </row>
    <row r="28" spans="1:4" ht="15.75" customHeight="1">
      <c r="A28" s="11" t="s">
        <v>17</v>
      </c>
      <c r="B28" t="s">
        <v>98</v>
      </c>
      <c r="C28" t="s">
        <v>97</v>
      </c>
      <c r="D28" t="s">
        <v>48</v>
      </c>
    </row>
    <row r="29" spans="1:4" ht="15.75" customHeight="1">
      <c r="A29" s="11" t="s">
        <v>17</v>
      </c>
      <c r="B29" t="s">
        <v>99</v>
      </c>
      <c r="C29" t="s">
        <v>97</v>
      </c>
      <c r="D29" t="s">
        <v>48</v>
      </c>
    </row>
    <row r="30" spans="1:4" ht="15.75" customHeight="1">
      <c r="A30" s="11" t="s">
        <v>17</v>
      </c>
      <c r="B30" t="s">
        <v>100</v>
      </c>
      <c r="C30" t="s">
        <v>101</v>
      </c>
      <c r="D30" t="s">
        <v>48</v>
      </c>
    </row>
    <row r="31" spans="1:4" ht="15.75" customHeight="1">
      <c r="A31" s="11" t="s">
        <v>17</v>
      </c>
      <c r="B31" t="s">
        <v>102</v>
      </c>
      <c r="C31" t="s">
        <v>103</v>
      </c>
      <c r="D31" t="s">
        <v>48</v>
      </c>
    </row>
    <row r="32" spans="1:4" ht="12.75">
      <c r="A32" s="11" t="s">
        <v>17</v>
      </c>
      <c r="B32" t="s">
        <v>104</v>
      </c>
      <c r="C32" t="s">
        <v>105</v>
      </c>
      <c r="D32" t="s">
        <v>48</v>
      </c>
    </row>
    <row r="33" spans="1:4" ht="12.75">
      <c r="A33" s="11" t="s">
        <v>17</v>
      </c>
      <c r="B33" t="s">
        <v>106</v>
      </c>
      <c r="C33" t="s">
        <v>107</v>
      </c>
      <c r="D33" t="s">
        <v>48</v>
      </c>
    </row>
    <row r="34" spans="1:4" ht="12.75">
      <c r="A34" s="11" t="s">
        <v>17</v>
      </c>
      <c r="B34" t="s">
        <v>108</v>
      </c>
      <c r="C34" t="s">
        <v>109</v>
      </c>
      <c r="D34" t="s">
        <v>48</v>
      </c>
    </row>
    <row r="35" spans="1:4" ht="12.75">
      <c r="A35" s="11" t="s">
        <v>17</v>
      </c>
      <c r="B35" t="s">
        <v>110</v>
      </c>
      <c r="C35" t="s">
        <v>95</v>
      </c>
      <c r="D35" t="s">
        <v>48</v>
      </c>
    </row>
    <row r="36" spans="1:4" ht="12.75">
      <c r="A36" s="11" t="s">
        <v>17</v>
      </c>
      <c r="B36" t="s">
        <v>111</v>
      </c>
      <c r="C36">
        <v>17766</v>
      </c>
      <c r="D36" t="s">
        <v>55</v>
      </c>
    </row>
    <row r="37" spans="1:4" ht="12.75">
      <c r="A37" s="11" t="s">
        <v>17</v>
      </c>
      <c r="B37" t="s">
        <v>112</v>
      </c>
      <c r="C37" t="s">
        <v>113</v>
      </c>
      <c r="D37" t="s">
        <v>55</v>
      </c>
    </row>
    <row r="38" spans="1:4" ht="12.75">
      <c r="A38" s="11" t="s">
        <v>17</v>
      </c>
      <c r="B38" t="s">
        <v>114</v>
      </c>
      <c r="C38" t="s">
        <v>115</v>
      </c>
      <c r="D38" t="s">
        <v>55</v>
      </c>
    </row>
    <row r="39" spans="1:4" ht="12.75">
      <c r="A39" s="11" t="s">
        <v>17</v>
      </c>
      <c r="B39" t="s">
        <v>116</v>
      </c>
      <c r="C39" t="s">
        <v>115</v>
      </c>
      <c r="D39" t="s">
        <v>55</v>
      </c>
    </row>
    <row r="40" spans="1:4" ht="12.75">
      <c r="A40" s="11" t="s">
        <v>17</v>
      </c>
      <c r="B40" t="s">
        <v>117</v>
      </c>
      <c r="C40" t="s">
        <v>115</v>
      </c>
      <c r="D40" t="s">
        <v>55</v>
      </c>
    </row>
    <row r="41" spans="1:4" ht="12.75">
      <c r="A41" s="11" t="s">
        <v>17</v>
      </c>
      <c r="B41" t="s">
        <v>118</v>
      </c>
      <c r="C41" t="s">
        <v>115</v>
      </c>
      <c r="D41" t="s">
        <v>55</v>
      </c>
    </row>
    <row r="42" spans="1:4" ht="12.75">
      <c r="A42" s="11" t="s">
        <v>17</v>
      </c>
      <c r="B42" t="s">
        <v>119</v>
      </c>
      <c r="C42" t="s">
        <v>120</v>
      </c>
      <c r="D42" t="s">
        <v>55</v>
      </c>
    </row>
    <row r="43" spans="1:4" ht="12.75">
      <c r="A43" s="11" t="s">
        <v>17</v>
      </c>
      <c r="B43" t="s">
        <v>121</v>
      </c>
      <c r="C43">
        <v>17347</v>
      </c>
      <c r="D43" t="s">
        <v>60</v>
      </c>
    </row>
    <row r="44" spans="1:4" ht="12.75">
      <c r="A44" s="11" t="s">
        <v>17</v>
      </c>
      <c r="B44" t="s">
        <v>122</v>
      </c>
      <c r="C44" t="s">
        <v>123</v>
      </c>
      <c r="D44" t="s">
        <v>60</v>
      </c>
    </row>
    <row r="45" spans="1:4" ht="12.75">
      <c r="A45" s="11" t="s">
        <v>17</v>
      </c>
      <c r="B45" t="s">
        <v>124</v>
      </c>
      <c r="C45" t="s">
        <v>125</v>
      </c>
      <c r="D45" t="s">
        <v>60</v>
      </c>
    </row>
    <row r="46" spans="1:4" ht="12.75">
      <c r="A46" s="11" t="s">
        <v>17</v>
      </c>
      <c r="B46" t="s">
        <v>126</v>
      </c>
      <c r="C46" t="s">
        <v>127</v>
      </c>
      <c r="D46" t="s">
        <v>60</v>
      </c>
    </row>
    <row r="47" spans="1:4" ht="12.75">
      <c r="A47" s="11" t="s">
        <v>17</v>
      </c>
      <c r="B47" t="s">
        <v>128</v>
      </c>
      <c r="C47" t="s">
        <v>127</v>
      </c>
      <c r="D47" t="s">
        <v>60</v>
      </c>
    </row>
    <row r="48" spans="1:4" ht="12.75">
      <c r="A48" s="11" t="s">
        <v>17</v>
      </c>
      <c r="B48" t="s">
        <v>129</v>
      </c>
      <c r="C48" t="s">
        <v>127</v>
      </c>
      <c r="D48" t="s">
        <v>60</v>
      </c>
    </row>
    <row r="49" spans="1:4" ht="12.75">
      <c r="A49" s="11" t="s">
        <v>17</v>
      </c>
      <c r="B49" t="s">
        <v>130</v>
      </c>
      <c r="C49" t="s">
        <v>131</v>
      </c>
      <c r="D49" t="s">
        <v>60</v>
      </c>
    </row>
    <row r="50" spans="1:4" ht="12.75">
      <c r="A50" s="11" t="s">
        <v>17</v>
      </c>
      <c r="B50" t="s">
        <v>132</v>
      </c>
      <c r="C50" t="s">
        <v>127</v>
      </c>
      <c r="D50" t="s">
        <v>60</v>
      </c>
    </row>
    <row r="51" spans="1:4" ht="12.75">
      <c r="A51" s="11" t="s">
        <v>17</v>
      </c>
      <c r="B51" t="s">
        <v>133</v>
      </c>
      <c r="C51" t="s">
        <v>127</v>
      </c>
      <c r="D51" t="s">
        <v>60</v>
      </c>
    </row>
    <row r="52" spans="1:4" ht="12.75">
      <c r="A52" s="11" t="s">
        <v>17</v>
      </c>
      <c r="B52" t="s">
        <v>134</v>
      </c>
      <c r="C52" t="s">
        <v>127</v>
      </c>
      <c r="D52" t="s">
        <v>60</v>
      </c>
    </row>
    <row r="53" spans="1:4" ht="12.75">
      <c r="A53" s="11" t="s">
        <v>17</v>
      </c>
      <c r="B53" t="s">
        <v>135</v>
      </c>
      <c r="C53" t="s">
        <v>127</v>
      </c>
      <c r="D53" t="s">
        <v>60</v>
      </c>
    </row>
    <row r="54" spans="1:4" ht="12.75">
      <c r="A54" s="11" t="s">
        <v>17</v>
      </c>
      <c r="B54" t="s">
        <v>136</v>
      </c>
      <c r="C54" t="s">
        <v>137</v>
      </c>
      <c r="D54" t="s">
        <v>60</v>
      </c>
    </row>
    <row r="55" spans="1:4" ht="12.75">
      <c r="A55" s="11" t="s">
        <v>17</v>
      </c>
      <c r="B55" t="s">
        <v>138</v>
      </c>
      <c r="C55" t="s">
        <v>137</v>
      </c>
      <c r="D55" t="s">
        <v>60</v>
      </c>
    </row>
    <row r="56" spans="1:4" ht="12.75">
      <c r="A56" s="11" t="s">
        <v>17</v>
      </c>
      <c r="B56" t="s">
        <v>139</v>
      </c>
      <c r="C56" t="s">
        <v>137</v>
      </c>
      <c r="D56" t="s">
        <v>60</v>
      </c>
    </row>
    <row r="57" spans="1:4" ht="12.75">
      <c r="A57" s="11" t="s">
        <v>17</v>
      </c>
      <c r="B57" t="s">
        <v>140</v>
      </c>
      <c r="C57" t="s">
        <v>141</v>
      </c>
      <c r="D57" t="s">
        <v>60</v>
      </c>
    </row>
    <row r="58" spans="1:4" ht="12.75">
      <c r="A58" s="11" t="s">
        <v>17</v>
      </c>
      <c r="B58" t="s">
        <v>142</v>
      </c>
      <c r="C58" t="s">
        <v>143</v>
      </c>
      <c r="D58" t="s">
        <v>60</v>
      </c>
    </row>
    <row r="59" spans="1:4" ht="12.75">
      <c r="A59" s="11" t="s">
        <v>17</v>
      </c>
      <c r="B59" t="s">
        <v>148</v>
      </c>
      <c r="C59" t="s">
        <v>149</v>
      </c>
      <c r="D59" t="s">
        <v>60</v>
      </c>
    </row>
    <row r="60" spans="1:4" ht="12.75">
      <c r="A60" s="11" t="s">
        <v>17</v>
      </c>
      <c r="B60" t="s">
        <v>150</v>
      </c>
      <c r="C60" t="s">
        <v>151</v>
      </c>
      <c r="D60" t="s">
        <v>57</v>
      </c>
    </row>
    <row r="61" spans="1:4" ht="12.75">
      <c r="A61" s="11" t="s">
        <v>17</v>
      </c>
      <c r="B61" t="s">
        <v>152</v>
      </c>
      <c r="C61" t="s">
        <v>151</v>
      </c>
      <c r="D61" t="s">
        <v>57</v>
      </c>
    </row>
    <row r="62" spans="1:4" ht="12.75">
      <c r="A62" s="11" t="s">
        <v>17</v>
      </c>
      <c r="B62" t="s">
        <v>153</v>
      </c>
      <c r="C62" t="s">
        <v>151</v>
      </c>
      <c r="D62" t="s">
        <v>57</v>
      </c>
    </row>
    <row r="63" spans="1:4" ht="12.75">
      <c r="A63" s="11" t="s">
        <v>17</v>
      </c>
      <c r="B63" t="s">
        <v>154</v>
      </c>
      <c r="C63" t="s">
        <v>151</v>
      </c>
      <c r="D63" t="s">
        <v>57</v>
      </c>
    </row>
    <row r="64" spans="1:4" ht="12.75">
      <c r="A64" s="11" t="s">
        <v>17</v>
      </c>
      <c r="B64" t="s">
        <v>155</v>
      </c>
      <c r="C64" t="s">
        <v>156</v>
      </c>
      <c r="D64" t="s">
        <v>57</v>
      </c>
    </row>
    <row r="65" spans="1:4" ht="12.75">
      <c r="A65" s="11" t="s">
        <v>17</v>
      </c>
      <c r="B65" t="s">
        <v>157</v>
      </c>
      <c r="C65" t="s">
        <v>158</v>
      </c>
      <c r="D65" t="s">
        <v>57</v>
      </c>
    </row>
    <row r="66" spans="1:4" ht="12.75">
      <c r="A66" s="11" t="s">
        <v>17</v>
      </c>
      <c r="B66" t="s">
        <v>159</v>
      </c>
      <c r="C66" t="s">
        <v>156</v>
      </c>
      <c r="D66" t="s">
        <v>57</v>
      </c>
    </row>
    <row r="67" spans="1:4" ht="12.75">
      <c r="A67" s="11" t="s">
        <v>17</v>
      </c>
      <c r="B67" t="s">
        <v>160</v>
      </c>
      <c r="C67" t="s">
        <v>161</v>
      </c>
      <c r="D67" t="s">
        <v>57</v>
      </c>
    </row>
    <row r="68" spans="1:4" ht="12.75">
      <c r="A68" s="11" t="s">
        <v>17</v>
      </c>
      <c r="B68" t="s">
        <v>162</v>
      </c>
      <c r="C68" t="s">
        <v>163</v>
      </c>
      <c r="D68" t="s">
        <v>57</v>
      </c>
    </row>
    <row r="69" spans="1:4" ht="12.75">
      <c r="A69" s="11" t="s">
        <v>17</v>
      </c>
      <c r="B69" t="s">
        <v>164</v>
      </c>
      <c r="C69" t="s">
        <v>165</v>
      </c>
      <c r="D69" t="s">
        <v>57</v>
      </c>
    </row>
    <row r="70" spans="1:4" ht="12.75">
      <c r="A70" s="11" t="s">
        <v>17</v>
      </c>
      <c r="B70" t="s">
        <v>166</v>
      </c>
      <c r="C70" t="s">
        <v>167</v>
      </c>
      <c r="D70" t="s">
        <v>57</v>
      </c>
    </row>
    <row r="71" spans="1:4" ht="12.75">
      <c r="A71" s="11" t="s">
        <v>17</v>
      </c>
      <c r="B71" t="s">
        <v>168</v>
      </c>
      <c r="C71" t="s">
        <v>156</v>
      </c>
      <c r="D71" t="s">
        <v>57</v>
      </c>
    </row>
    <row r="72" spans="1:4" ht="12.75">
      <c r="A72" s="11" t="s">
        <v>17</v>
      </c>
      <c r="B72" t="s">
        <v>169</v>
      </c>
      <c r="C72" t="s">
        <v>170</v>
      </c>
      <c r="D72" t="s">
        <v>57</v>
      </c>
    </row>
    <row r="73" spans="1:4" ht="12.75">
      <c r="A73" s="11" t="s">
        <v>17</v>
      </c>
      <c r="B73" t="s">
        <v>171</v>
      </c>
      <c r="C73" t="s">
        <v>172</v>
      </c>
      <c r="D73" t="s">
        <v>57</v>
      </c>
    </row>
    <row r="74" spans="1:4" ht="12.75">
      <c r="A74" s="11" t="s">
        <v>17</v>
      </c>
      <c r="B74" t="s">
        <v>173</v>
      </c>
      <c r="C74" t="s">
        <v>174</v>
      </c>
      <c r="D74" t="s">
        <v>57</v>
      </c>
    </row>
    <row r="75" spans="1:4" ht="12.75">
      <c r="A75" s="11" t="s">
        <v>17</v>
      </c>
      <c r="B75" t="s">
        <v>175</v>
      </c>
      <c r="C75" t="s">
        <v>176</v>
      </c>
      <c r="D75" t="s">
        <v>57</v>
      </c>
    </row>
    <row r="76" spans="1:4" ht="12.75">
      <c r="A76" s="11" t="s">
        <v>17</v>
      </c>
      <c r="B76" t="s">
        <v>177</v>
      </c>
      <c r="C76" t="s">
        <v>176</v>
      </c>
      <c r="D76" t="s">
        <v>57</v>
      </c>
    </row>
    <row r="77" spans="1:4" ht="12.75">
      <c r="A77" s="11" t="s">
        <v>17</v>
      </c>
      <c r="B77" t="s">
        <v>178</v>
      </c>
      <c r="C77" t="s">
        <v>176</v>
      </c>
      <c r="D77" t="s">
        <v>57</v>
      </c>
    </row>
    <row r="78" spans="1:4" ht="12.75">
      <c r="A78" s="11" t="s">
        <v>17</v>
      </c>
      <c r="B78" t="s">
        <v>179</v>
      </c>
      <c r="C78" t="s">
        <v>176</v>
      </c>
      <c r="D78" t="s">
        <v>57</v>
      </c>
    </row>
    <row r="79" spans="1:4" ht="12.75">
      <c r="A79" s="11" t="s">
        <v>17</v>
      </c>
      <c r="B79" t="s">
        <v>180</v>
      </c>
      <c r="C79" t="s">
        <v>181</v>
      </c>
      <c r="D79" t="s">
        <v>57</v>
      </c>
    </row>
    <row r="80" spans="1:4" ht="12.75">
      <c r="A80" s="11" t="s">
        <v>17</v>
      </c>
      <c r="B80" t="s">
        <v>182</v>
      </c>
      <c r="C80" t="s">
        <v>183</v>
      </c>
      <c r="D80" t="s">
        <v>57</v>
      </c>
    </row>
    <row r="81" spans="1:4" ht="12.75">
      <c r="A81" s="11" t="s">
        <v>17</v>
      </c>
      <c r="B81" t="s">
        <v>184</v>
      </c>
      <c r="C81" t="s">
        <v>185</v>
      </c>
      <c r="D81" t="s">
        <v>57</v>
      </c>
    </row>
    <row r="82" spans="1:4" ht="12.75">
      <c r="A82" s="11" t="s">
        <v>17</v>
      </c>
      <c r="B82" t="s">
        <v>186</v>
      </c>
      <c r="C82" t="s">
        <v>187</v>
      </c>
      <c r="D82" t="s">
        <v>57</v>
      </c>
    </row>
    <row r="83" spans="1:4" ht="12.75">
      <c r="A83" s="11" t="s">
        <v>17</v>
      </c>
      <c r="B83" t="s">
        <v>188</v>
      </c>
      <c r="C83" t="s">
        <v>189</v>
      </c>
      <c r="D83" t="s">
        <v>57</v>
      </c>
    </row>
    <row r="84" spans="1:4" ht="12.75">
      <c r="A84" s="11" t="s">
        <v>17</v>
      </c>
      <c r="B84" t="s">
        <v>190</v>
      </c>
      <c r="C84" t="s">
        <v>189</v>
      </c>
      <c r="D84" t="s">
        <v>57</v>
      </c>
    </row>
    <row r="85" spans="1:4" ht="12.75">
      <c r="A85" s="11" t="s">
        <v>17</v>
      </c>
      <c r="B85" t="s">
        <v>191</v>
      </c>
      <c r="C85" t="s">
        <v>192</v>
      </c>
      <c r="D85" t="s">
        <v>57</v>
      </c>
    </row>
    <row r="86" spans="1:4" ht="12.75">
      <c r="A86" s="11" t="s">
        <v>17</v>
      </c>
      <c r="B86" t="s">
        <v>193</v>
      </c>
      <c r="C86" t="s">
        <v>189</v>
      </c>
      <c r="D86" t="s">
        <v>57</v>
      </c>
    </row>
    <row r="87" spans="1:4" ht="12.75">
      <c r="A87" s="11" t="s">
        <v>17</v>
      </c>
      <c r="B87" t="s">
        <v>194</v>
      </c>
      <c r="C87" t="s">
        <v>189</v>
      </c>
      <c r="D87" t="s">
        <v>57</v>
      </c>
    </row>
    <row r="88" spans="1:4" ht="12.75">
      <c r="A88" s="11" t="s">
        <v>17</v>
      </c>
      <c r="B88" t="s">
        <v>195</v>
      </c>
      <c r="C88" t="s">
        <v>189</v>
      </c>
      <c r="D88" t="s">
        <v>57</v>
      </c>
    </row>
    <row r="89" spans="1:4" ht="12.75">
      <c r="A89" s="11" t="s">
        <v>17</v>
      </c>
      <c r="B89" t="s">
        <v>196</v>
      </c>
      <c r="C89" t="s">
        <v>197</v>
      </c>
      <c r="D89" t="s">
        <v>57</v>
      </c>
    </row>
    <row r="90" spans="1:4" ht="12.75">
      <c r="A90" s="11" t="s">
        <v>17</v>
      </c>
      <c r="B90" t="s">
        <v>198</v>
      </c>
      <c r="C90" t="s">
        <v>189</v>
      </c>
      <c r="D90" t="s">
        <v>57</v>
      </c>
    </row>
    <row r="91" spans="1:4" ht="12.75">
      <c r="A91" s="11" t="s">
        <v>17</v>
      </c>
      <c r="B91" t="s">
        <v>199</v>
      </c>
      <c r="C91" t="s">
        <v>115</v>
      </c>
      <c r="D91" t="s">
        <v>57</v>
      </c>
    </row>
    <row r="92" spans="1:4" ht="12.75">
      <c r="A92" s="11" t="s">
        <v>17</v>
      </c>
      <c r="B92" t="s">
        <v>200</v>
      </c>
      <c r="C92" t="s">
        <v>201</v>
      </c>
      <c r="D92" t="s">
        <v>202</v>
      </c>
    </row>
    <row r="93" spans="1:4" ht="12.75">
      <c r="A93" s="11" t="s">
        <v>17</v>
      </c>
      <c r="B93" t="s">
        <v>203</v>
      </c>
      <c r="C93" t="s">
        <v>204</v>
      </c>
      <c r="D93" t="s">
        <v>59</v>
      </c>
    </row>
    <row r="94" spans="1:4" ht="12.75">
      <c r="A94" s="11" t="s">
        <v>17</v>
      </c>
      <c r="B94" t="s">
        <v>205</v>
      </c>
      <c r="C94" t="s">
        <v>206</v>
      </c>
      <c r="D94" t="s">
        <v>59</v>
      </c>
    </row>
    <row r="95" spans="1:4" ht="12.75">
      <c r="A95" s="11" t="s">
        <v>17</v>
      </c>
      <c r="B95" t="s">
        <v>207</v>
      </c>
      <c r="C95" t="s">
        <v>208</v>
      </c>
      <c r="D95" t="s">
        <v>59</v>
      </c>
    </row>
    <row r="96" spans="1:4" ht="12.75">
      <c r="A96" s="11" t="s">
        <v>17</v>
      </c>
      <c r="B96" t="s">
        <v>209</v>
      </c>
      <c r="C96" t="s">
        <v>210</v>
      </c>
      <c r="D96" t="s">
        <v>59</v>
      </c>
    </row>
    <row r="97" spans="1:4" ht="12.75">
      <c r="A97" s="11" t="s">
        <v>17</v>
      </c>
      <c r="B97" t="s">
        <v>211</v>
      </c>
      <c r="C97" t="s">
        <v>212</v>
      </c>
      <c r="D97" t="s">
        <v>59</v>
      </c>
    </row>
    <row r="98" spans="1:4" ht="12.75">
      <c r="A98" s="11" t="s">
        <v>17</v>
      </c>
      <c r="B98" t="s">
        <v>213</v>
      </c>
      <c r="C98" t="s">
        <v>214</v>
      </c>
      <c r="D98" t="s">
        <v>59</v>
      </c>
    </row>
    <row r="99" spans="1:4" ht="12.75">
      <c r="A99" s="11" t="s">
        <v>17</v>
      </c>
      <c r="B99" t="s">
        <v>215</v>
      </c>
      <c r="C99" t="s">
        <v>216</v>
      </c>
      <c r="D99" t="s">
        <v>59</v>
      </c>
    </row>
    <row r="100" spans="1:4" ht="12.75">
      <c r="A100" s="11" t="s">
        <v>17</v>
      </c>
      <c r="B100" t="s">
        <v>217</v>
      </c>
      <c r="C100" t="s">
        <v>218</v>
      </c>
      <c r="D100" t="s">
        <v>59</v>
      </c>
    </row>
    <row r="101" spans="1:4" ht="12.75">
      <c r="A101" s="11" t="s">
        <v>17</v>
      </c>
      <c r="B101" t="s">
        <v>219</v>
      </c>
      <c r="C101" t="s">
        <v>220</v>
      </c>
      <c r="D101" t="s">
        <v>59</v>
      </c>
    </row>
    <row r="102" spans="1:4" ht="12.75">
      <c r="A102" s="11" t="s">
        <v>17</v>
      </c>
      <c r="B102" t="s">
        <v>221</v>
      </c>
      <c r="C102" t="s">
        <v>222</v>
      </c>
      <c r="D102" t="s">
        <v>59</v>
      </c>
    </row>
    <row r="103" spans="1:4" ht="12.75">
      <c r="A103" s="11" t="s">
        <v>17</v>
      </c>
      <c r="B103" t="s">
        <v>223</v>
      </c>
      <c r="C103" t="s">
        <v>224</v>
      </c>
      <c r="D103" t="s">
        <v>225</v>
      </c>
    </row>
    <row r="104" spans="1:4" ht="12.75">
      <c r="A104" s="11" t="s">
        <v>17</v>
      </c>
      <c r="B104" t="s">
        <v>226</v>
      </c>
      <c r="C104" t="s">
        <v>227</v>
      </c>
      <c r="D104" t="s">
        <v>225</v>
      </c>
    </row>
    <row r="105" spans="1:4" ht="12.75">
      <c r="A105" s="11" t="s">
        <v>17</v>
      </c>
      <c r="B105" t="s">
        <v>228</v>
      </c>
      <c r="C105" t="s">
        <v>229</v>
      </c>
      <c r="D105" t="s">
        <v>225</v>
      </c>
    </row>
    <row r="106" spans="1:4" ht="12.75">
      <c r="A106" s="11" t="s">
        <v>17</v>
      </c>
      <c r="B106" t="s">
        <v>230</v>
      </c>
      <c r="C106">
        <v>17326</v>
      </c>
      <c r="D106" t="s">
        <v>54</v>
      </c>
    </row>
    <row r="107" spans="1:4" ht="12.75">
      <c r="A107" s="11" t="s">
        <v>17</v>
      </c>
      <c r="B107" t="s">
        <v>231</v>
      </c>
      <c r="C107" t="s">
        <v>232</v>
      </c>
      <c r="D107" t="s">
        <v>54</v>
      </c>
    </row>
    <row r="108" spans="1:4" ht="12.75">
      <c r="A108" s="11" t="s">
        <v>17</v>
      </c>
      <c r="B108" t="s">
        <v>233</v>
      </c>
      <c r="C108" t="s">
        <v>234</v>
      </c>
      <c r="D108" t="s">
        <v>54</v>
      </c>
    </row>
    <row r="109" spans="1:4" ht="12.75">
      <c r="A109" s="11" t="s">
        <v>17</v>
      </c>
      <c r="B109" t="s">
        <v>235</v>
      </c>
      <c r="C109">
        <v>14101</v>
      </c>
      <c r="D109" t="s">
        <v>54</v>
      </c>
    </row>
    <row r="110" spans="1:4" ht="12.75">
      <c r="A110" s="11" t="s">
        <v>17</v>
      </c>
      <c r="B110" t="s">
        <v>236</v>
      </c>
      <c r="C110" t="s">
        <v>237</v>
      </c>
      <c r="D110" t="s">
        <v>54</v>
      </c>
    </row>
    <row r="111" spans="1:4" ht="12.75">
      <c r="A111" s="11" t="s">
        <v>17</v>
      </c>
      <c r="B111" t="s">
        <v>238</v>
      </c>
      <c r="C111" t="s">
        <v>239</v>
      </c>
      <c r="D111" t="s">
        <v>240</v>
      </c>
    </row>
    <row r="112" spans="1:4" ht="12.75">
      <c r="A112" s="11" t="s">
        <v>17</v>
      </c>
      <c r="B112" t="s">
        <v>241</v>
      </c>
      <c r="C112" t="s">
        <v>242</v>
      </c>
      <c r="D112" t="s">
        <v>45</v>
      </c>
    </row>
    <row r="113" spans="1:4" ht="12.75">
      <c r="A113" s="11" t="s">
        <v>17</v>
      </c>
      <c r="B113" t="s">
        <v>243</v>
      </c>
      <c r="C113" t="s">
        <v>242</v>
      </c>
      <c r="D113" t="s">
        <v>45</v>
      </c>
    </row>
    <row r="114" spans="1:4" ht="12.75">
      <c r="A114" s="11" t="s">
        <v>17</v>
      </c>
      <c r="B114" t="s">
        <v>244</v>
      </c>
      <c r="C114" t="s">
        <v>242</v>
      </c>
      <c r="D114" t="s">
        <v>45</v>
      </c>
    </row>
    <row r="115" spans="1:4" ht="12.75">
      <c r="A115" s="11" t="s">
        <v>17</v>
      </c>
      <c r="B115" t="s">
        <v>245</v>
      </c>
      <c r="C115" t="s">
        <v>246</v>
      </c>
      <c r="D115" t="s">
        <v>45</v>
      </c>
    </row>
    <row r="116" spans="1:4" ht="12.75">
      <c r="A116" s="11" t="s">
        <v>17</v>
      </c>
      <c r="B116" t="s">
        <v>247</v>
      </c>
      <c r="C116" t="s">
        <v>248</v>
      </c>
      <c r="D116" t="s">
        <v>45</v>
      </c>
    </row>
    <row r="117" spans="1:4" ht="12.75">
      <c r="A117" s="11" t="s">
        <v>17</v>
      </c>
      <c r="B117" t="s">
        <v>249</v>
      </c>
      <c r="C117" t="s">
        <v>250</v>
      </c>
      <c r="D117" t="s">
        <v>45</v>
      </c>
    </row>
    <row r="118" spans="1:4" ht="12.75">
      <c r="A118" s="11" t="s">
        <v>17</v>
      </c>
      <c r="B118" t="s">
        <v>251</v>
      </c>
      <c r="C118" t="s">
        <v>250</v>
      </c>
      <c r="D118" t="s">
        <v>45</v>
      </c>
    </row>
    <row r="119" spans="1:4" ht="12.75">
      <c r="A119" s="11" t="s">
        <v>17</v>
      </c>
      <c r="B119" t="s">
        <v>252</v>
      </c>
      <c r="C119" t="s">
        <v>250</v>
      </c>
      <c r="D119" t="s">
        <v>45</v>
      </c>
    </row>
    <row r="120" spans="1:4" ht="12.75">
      <c r="A120" s="11" t="s">
        <v>17</v>
      </c>
      <c r="B120" t="s">
        <v>253</v>
      </c>
      <c r="C120" t="s">
        <v>250</v>
      </c>
      <c r="D120" t="s">
        <v>45</v>
      </c>
    </row>
    <row r="121" spans="1:4" ht="12.75">
      <c r="A121" s="11" t="s">
        <v>17</v>
      </c>
      <c r="B121" t="s">
        <v>254</v>
      </c>
      <c r="C121" t="s">
        <v>250</v>
      </c>
      <c r="D121" t="s">
        <v>45</v>
      </c>
    </row>
    <row r="122" spans="1:4" ht="12.75">
      <c r="A122" s="11" t="s">
        <v>17</v>
      </c>
      <c r="B122" t="s">
        <v>255</v>
      </c>
      <c r="C122" t="s">
        <v>250</v>
      </c>
      <c r="D122" t="s">
        <v>45</v>
      </c>
    </row>
    <row r="123" spans="1:4" ht="12.75">
      <c r="A123" s="11" t="s">
        <v>17</v>
      </c>
      <c r="B123" t="s">
        <v>256</v>
      </c>
      <c r="C123" t="s">
        <v>250</v>
      </c>
      <c r="D123" t="s">
        <v>45</v>
      </c>
    </row>
    <row r="124" spans="1:4" ht="12.75">
      <c r="A124" s="11" t="s">
        <v>17</v>
      </c>
      <c r="B124" t="s">
        <v>257</v>
      </c>
      <c r="C124" t="s">
        <v>250</v>
      </c>
      <c r="D124" t="s">
        <v>45</v>
      </c>
    </row>
    <row r="125" spans="1:4" ht="12.75">
      <c r="A125" s="11" t="s">
        <v>17</v>
      </c>
      <c r="B125" t="s">
        <v>258</v>
      </c>
      <c r="C125" t="s">
        <v>250</v>
      </c>
      <c r="D125" t="s">
        <v>45</v>
      </c>
    </row>
    <row r="126" spans="1:4" ht="12.75">
      <c r="A126" s="11" t="s">
        <v>17</v>
      </c>
      <c r="B126" t="s">
        <v>259</v>
      </c>
      <c r="C126" t="s">
        <v>250</v>
      </c>
      <c r="D126" t="s">
        <v>45</v>
      </c>
    </row>
    <row r="127" spans="1:4" ht="12.75">
      <c r="A127" s="11" t="s">
        <v>17</v>
      </c>
      <c r="B127" t="s">
        <v>260</v>
      </c>
      <c r="C127" t="s">
        <v>261</v>
      </c>
      <c r="D127" t="s">
        <v>61</v>
      </c>
    </row>
    <row r="128" spans="1:4" ht="12.75">
      <c r="A128" s="11" t="s">
        <v>17</v>
      </c>
      <c r="B128" t="s">
        <v>262</v>
      </c>
      <c r="C128" t="s">
        <v>263</v>
      </c>
      <c r="D128" t="s">
        <v>61</v>
      </c>
    </row>
    <row r="129" spans="1:4" ht="12.75">
      <c r="A129" s="11" t="s">
        <v>17</v>
      </c>
      <c r="B129" t="s">
        <v>264</v>
      </c>
      <c r="C129" t="s">
        <v>265</v>
      </c>
      <c r="D129" t="s">
        <v>61</v>
      </c>
    </row>
    <row r="130" spans="1:4" ht="12.75">
      <c r="A130" s="11" t="s">
        <v>17</v>
      </c>
      <c r="B130" t="s">
        <v>266</v>
      </c>
      <c r="C130" t="s">
        <v>267</v>
      </c>
      <c r="D130" t="s">
        <v>61</v>
      </c>
    </row>
    <row r="131" spans="1:4" ht="12.75">
      <c r="A131" s="11" t="s">
        <v>17</v>
      </c>
      <c r="B131" t="s">
        <v>268</v>
      </c>
      <c r="C131" t="s">
        <v>267</v>
      </c>
      <c r="D131" t="s">
        <v>61</v>
      </c>
    </row>
    <row r="132" spans="1:4" ht="12.75">
      <c r="A132" s="11" t="s">
        <v>17</v>
      </c>
      <c r="B132" t="s">
        <v>269</v>
      </c>
      <c r="C132" t="s">
        <v>270</v>
      </c>
      <c r="D132" t="s">
        <v>61</v>
      </c>
    </row>
    <row r="133" spans="1:4" ht="12.75">
      <c r="A133" s="11" t="s">
        <v>17</v>
      </c>
      <c r="B133" t="s">
        <v>271</v>
      </c>
      <c r="C133" t="s">
        <v>272</v>
      </c>
      <c r="D133" t="s">
        <v>61</v>
      </c>
    </row>
    <row r="134" spans="1:4" ht="12.75">
      <c r="A134" s="11" t="s">
        <v>17</v>
      </c>
      <c r="B134" t="s">
        <v>273</v>
      </c>
      <c r="C134" t="s">
        <v>274</v>
      </c>
      <c r="D134" t="s">
        <v>61</v>
      </c>
    </row>
    <row r="135" spans="1:4" ht="12.75">
      <c r="A135" s="11" t="s">
        <v>17</v>
      </c>
      <c r="B135" t="s">
        <v>275</v>
      </c>
      <c r="C135" t="s">
        <v>276</v>
      </c>
      <c r="D135" t="s">
        <v>61</v>
      </c>
    </row>
    <row r="136" spans="1:4" ht="12.75">
      <c r="A136" s="11" t="s">
        <v>17</v>
      </c>
      <c r="B136" t="s">
        <v>277</v>
      </c>
      <c r="C136" t="s">
        <v>278</v>
      </c>
      <c r="D136" t="s">
        <v>61</v>
      </c>
    </row>
    <row r="137" spans="1:4" ht="12.75">
      <c r="A137" s="11" t="s">
        <v>17</v>
      </c>
      <c r="B137" t="s">
        <v>279</v>
      </c>
      <c r="C137" t="s">
        <v>212</v>
      </c>
      <c r="D137" t="s">
        <v>61</v>
      </c>
    </row>
    <row r="138" spans="1:4" ht="12.75">
      <c r="A138" s="11" t="s">
        <v>17</v>
      </c>
      <c r="B138" t="s">
        <v>280</v>
      </c>
      <c r="C138" t="s">
        <v>281</v>
      </c>
      <c r="D138" t="s">
        <v>61</v>
      </c>
    </row>
    <row r="139" spans="1:4" ht="12.75">
      <c r="A139" s="11" t="s">
        <v>17</v>
      </c>
      <c r="B139" t="s">
        <v>282</v>
      </c>
      <c r="C139" t="s">
        <v>283</v>
      </c>
      <c r="D139" t="s">
        <v>61</v>
      </c>
    </row>
    <row r="140" spans="1:4" ht="12.75">
      <c r="A140" s="11" t="s">
        <v>17</v>
      </c>
      <c r="B140" t="s">
        <v>284</v>
      </c>
      <c r="C140" t="s">
        <v>206</v>
      </c>
      <c r="D140" t="s">
        <v>61</v>
      </c>
    </row>
    <row r="141" spans="1:4" ht="12.75">
      <c r="A141" s="11" t="s">
        <v>17</v>
      </c>
      <c r="B141" t="s">
        <v>285</v>
      </c>
      <c r="C141" t="s">
        <v>286</v>
      </c>
      <c r="D141" t="s">
        <v>61</v>
      </c>
    </row>
    <row r="142" spans="1:4" ht="12.75">
      <c r="A142" s="11" t="s">
        <v>17</v>
      </c>
      <c r="B142" t="s">
        <v>287</v>
      </c>
      <c r="C142" t="s">
        <v>288</v>
      </c>
      <c r="D142" t="s">
        <v>61</v>
      </c>
    </row>
    <row r="143" spans="1:4" ht="12.75">
      <c r="A143" s="11" t="s">
        <v>17</v>
      </c>
      <c r="B143" t="s">
        <v>289</v>
      </c>
      <c r="C143">
        <v>17775</v>
      </c>
      <c r="D143" t="s">
        <v>47</v>
      </c>
    </row>
    <row r="144" spans="1:4" ht="12.75">
      <c r="A144" s="11" t="s">
        <v>17</v>
      </c>
      <c r="B144" t="s">
        <v>290</v>
      </c>
      <c r="C144">
        <v>17792</v>
      </c>
      <c r="D144" t="s">
        <v>47</v>
      </c>
    </row>
    <row r="145" spans="1:4" ht="12.75">
      <c r="A145" s="11" t="s">
        <v>17</v>
      </c>
      <c r="B145" t="s">
        <v>291</v>
      </c>
      <c r="C145" t="s">
        <v>292</v>
      </c>
      <c r="D145" t="s">
        <v>47</v>
      </c>
    </row>
    <row r="146" spans="1:4" ht="12.75">
      <c r="A146" s="11" t="s">
        <v>17</v>
      </c>
      <c r="B146" t="s">
        <v>293</v>
      </c>
      <c r="C146" t="s">
        <v>294</v>
      </c>
      <c r="D146" t="s">
        <v>47</v>
      </c>
    </row>
    <row r="147" spans="1:4" ht="12.75">
      <c r="A147" s="11" t="s">
        <v>17</v>
      </c>
      <c r="B147" t="s">
        <v>295</v>
      </c>
      <c r="C147" t="s">
        <v>296</v>
      </c>
      <c r="D147" t="s">
        <v>53</v>
      </c>
    </row>
    <row r="148" spans="1:4" ht="12.75">
      <c r="A148" s="11" t="s">
        <v>17</v>
      </c>
      <c r="B148" t="s">
        <v>297</v>
      </c>
      <c r="C148" t="s">
        <v>296</v>
      </c>
      <c r="D148" t="s">
        <v>53</v>
      </c>
    </row>
    <row r="149" spans="1:4" ht="12.75">
      <c r="A149" s="11" t="s">
        <v>17</v>
      </c>
      <c r="B149" t="s">
        <v>298</v>
      </c>
      <c r="C149" t="s">
        <v>296</v>
      </c>
      <c r="D149" t="s">
        <v>53</v>
      </c>
    </row>
    <row r="150" spans="1:4" ht="12.75">
      <c r="A150" s="11" t="s">
        <v>17</v>
      </c>
      <c r="B150" t="s">
        <v>299</v>
      </c>
      <c r="C150" t="s">
        <v>296</v>
      </c>
      <c r="D150" t="s">
        <v>53</v>
      </c>
    </row>
    <row r="151" spans="1:4" ht="12.75">
      <c r="A151" s="11" t="s">
        <v>17</v>
      </c>
      <c r="B151" t="s">
        <v>300</v>
      </c>
      <c r="C151" t="s">
        <v>301</v>
      </c>
      <c r="D151" t="s">
        <v>53</v>
      </c>
    </row>
    <row r="152" spans="1:4" ht="12.75">
      <c r="A152" s="11" t="s">
        <v>17</v>
      </c>
      <c r="B152" t="s">
        <v>302</v>
      </c>
      <c r="C152" t="s">
        <v>303</v>
      </c>
      <c r="D152" t="s">
        <v>53</v>
      </c>
    </row>
    <row r="153" spans="1:4" ht="12.75">
      <c r="A153" s="11" t="s">
        <v>17</v>
      </c>
      <c r="B153" t="s">
        <v>304</v>
      </c>
      <c r="C153" t="s">
        <v>305</v>
      </c>
      <c r="D153" t="s">
        <v>53</v>
      </c>
    </row>
    <row r="154" spans="1:4" ht="12.75">
      <c r="A154" s="11" t="s">
        <v>17</v>
      </c>
      <c r="B154" t="s">
        <v>306</v>
      </c>
      <c r="C154" t="s">
        <v>307</v>
      </c>
      <c r="D154" t="s">
        <v>53</v>
      </c>
    </row>
    <row r="155" spans="1:4" ht="12.75">
      <c r="A155" s="11" t="s">
        <v>17</v>
      </c>
      <c r="B155" t="s">
        <v>308</v>
      </c>
      <c r="C155" t="s">
        <v>309</v>
      </c>
      <c r="D155" t="s">
        <v>53</v>
      </c>
    </row>
    <row r="156" spans="1:4" ht="12.75">
      <c r="A156" s="11" t="s">
        <v>17</v>
      </c>
      <c r="B156" t="s">
        <v>310</v>
      </c>
      <c r="C156" t="s">
        <v>309</v>
      </c>
      <c r="D156" t="s">
        <v>53</v>
      </c>
    </row>
    <row r="157" spans="1:4" ht="12.75">
      <c r="A157" s="11" t="s">
        <v>17</v>
      </c>
      <c r="B157" t="s">
        <v>311</v>
      </c>
      <c r="C157" t="s">
        <v>309</v>
      </c>
      <c r="D157" t="s">
        <v>53</v>
      </c>
    </row>
    <row r="158" spans="1:4" ht="12.75">
      <c r="A158" s="11" t="s">
        <v>17</v>
      </c>
      <c r="B158" t="s">
        <v>312</v>
      </c>
      <c r="C158" t="s">
        <v>309</v>
      </c>
      <c r="D158" t="s">
        <v>53</v>
      </c>
    </row>
    <row r="159" spans="1:4" ht="12.75">
      <c r="A159" s="11" t="s">
        <v>17</v>
      </c>
      <c r="B159" t="s">
        <v>313</v>
      </c>
      <c r="C159" t="s">
        <v>309</v>
      </c>
      <c r="D159" t="s">
        <v>53</v>
      </c>
    </row>
    <row r="160" spans="1:4" ht="12.75">
      <c r="A160" s="11" t="s">
        <v>17</v>
      </c>
      <c r="B160" t="s">
        <v>314</v>
      </c>
      <c r="C160" t="s">
        <v>309</v>
      </c>
      <c r="D160" t="s">
        <v>53</v>
      </c>
    </row>
    <row r="161" spans="1:4" ht="12.75">
      <c r="A161" s="11" t="s">
        <v>17</v>
      </c>
      <c r="B161" t="s">
        <v>315</v>
      </c>
      <c r="C161" t="s">
        <v>309</v>
      </c>
      <c r="D161" t="s">
        <v>53</v>
      </c>
    </row>
    <row r="162" spans="1:4" ht="12.75">
      <c r="A162" s="11" t="s">
        <v>17</v>
      </c>
      <c r="B162" t="s">
        <v>316</v>
      </c>
      <c r="C162" t="s">
        <v>309</v>
      </c>
      <c r="D162" t="s">
        <v>53</v>
      </c>
    </row>
    <row r="163" spans="1:4" ht="12.75">
      <c r="A163" s="11" t="s">
        <v>17</v>
      </c>
      <c r="B163" t="s">
        <v>317</v>
      </c>
      <c r="C163" t="s">
        <v>309</v>
      </c>
      <c r="D163" t="s">
        <v>53</v>
      </c>
    </row>
    <row r="164" spans="1:4" ht="12.75">
      <c r="A164" s="11" t="s">
        <v>17</v>
      </c>
      <c r="B164" t="s">
        <v>318</v>
      </c>
      <c r="C164" t="s">
        <v>307</v>
      </c>
      <c r="D164" t="s">
        <v>53</v>
      </c>
    </row>
    <row r="165" spans="1:4" ht="12.75">
      <c r="A165" s="11" t="s">
        <v>17</v>
      </c>
      <c r="B165" t="s">
        <v>319</v>
      </c>
      <c r="C165" t="s">
        <v>307</v>
      </c>
      <c r="D165" t="s">
        <v>53</v>
      </c>
    </row>
    <row r="166" spans="1:4" ht="12.75">
      <c r="A166" s="11" t="s">
        <v>17</v>
      </c>
      <c r="B166" t="s">
        <v>320</v>
      </c>
      <c r="C166" t="s">
        <v>307</v>
      </c>
      <c r="D166" t="s">
        <v>53</v>
      </c>
    </row>
    <row r="167" spans="1:4" ht="12.75">
      <c r="A167" s="11" t="s">
        <v>17</v>
      </c>
      <c r="B167" t="s">
        <v>321</v>
      </c>
      <c r="C167" t="s">
        <v>307</v>
      </c>
      <c r="D167" t="s">
        <v>53</v>
      </c>
    </row>
    <row r="168" spans="1:4" ht="12.75">
      <c r="A168" s="11" t="s">
        <v>17</v>
      </c>
      <c r="B168" t="s">
        <v>322</v>
      </c>
      <c r="C168" t="s">
        <v>323</v>
      </c>
      <c r="D168" t="s">
        <v>53</v>
      </c>
    </row>
    <row r="169" spans="1:4" ht="12.75">
      <c r="A169" s="11" t="s">
        <v>17</v>
      </c>
      <c r="B169" t="s">
        <v>324</v>
      </c>
      <c r="C169" t="s">
        <v>325</v>
      </c>
      <c r="D169" t="s">
        <v>53</v>
      </c>
    </row>
    <row r="170" spans="1:4" ht="12.75">
      <c r="A170" s="11" t="s">
        <v>17</v>
      </c>
      <c r="B170" t="s">
        <v>326</v>
      </c>
      <c r="C170" t="s">
        <v>327</v>
      </c>
      <c r="D170" t="s">
        <v>53</v>
      </c>
    </row>
    <row r="171" spans="1:4" ht="12.75">
      <c r="A171" s="11" t="s">
        <v>17</v>
      </c>
      <c r="B171" t="s">
        <v>328</v>
      </c>
      <c r="C171" t="s">
        <v>329</v>
      </c>
      <c r="D171" t="s">
        <v>53</v>
      </c>
    </row>
    <row r="172" spans="1:4" ht="12.75">
      <c r="A172" s="11" t="s">
        <v>17</v>
      </c>
      <c r="B172" t="s">
        <v>330</v>
      </c>
      <c r="C172" t="s">
        <v>331</v>
      </c>
      <c r="D172" t="s">
        <v>53</v>
      </c>
    </row>
    <row r="173" spans="1:4" ht="12.75">
      <c r="A173" s="11" t="s">
        <v>17</v>
      </c>
      <c r="B173" t="s">
        <v>332</v>
      </c>
      <c r="C173" t="s">
        <v>333</v>
      </c>
      <c r="D173" t="s">
        <v>62</v>
      </c>
    </row>
    <row r="174" spans="1:4" ht="12.75">
      <c r="A174" s="11" t="s">
        <v>17</v>
      </c>
      <c r="B174" t="s">
        <v>334</v>
      </c>
      <c r="C174" t="s">
        <v>335</v>
      </c>
      <c r="D174" t="s">
        <v>62</v>
      </c>
    </row>
    <row r="175" spans="1:4" ht="12.75">
      <c r="A175" s="11" t="s">
        <v>17</v>
      </c>
      <c r="B175" t="s">
        <v>336</v>
      </c>
      <c r="C175" t="s">
        <v>335</v>
      </c>
      <c r="D175" t="s">
        <v>62</v>
      </c>
    </row>
    <row r="176" spans="1:4" ht="12.75">
      <c r="A176" s="11" t="s">
        <v>17</v>
      </c>
      <c r="B176" t="s">
        <v>337</v>
      </c>
      <c r="C176" t="s">
        <v>338</v>
      </c>
      <c r="D176" t="s">
        <v>62</v>
      </c>
    </row>
    <row r="177" spans="1:4" ht="12.75">
      <c r="A177" s="11" t="s">
        <v>17</v>
      </c>
      <c r="B177" t="s">
        <v>339</v>
      </c>
      <c r="C177" t="s">
        <v>340</v>
      </c>
      <c r="D177" t="s">
        <v>62</v>
      </c>
    </row>
    <row r="178" spans="1:4" ht="12.75">
      <c r="A178" s="11" t="s">
        <v>17</v>
      </c>
      <c r="B178" t="s">
        <v>341</v>
      </c>
      <c r="C178" t="s">
        <v>338</v>
      </c>
      <c r="D178" t="s">
        <v>62</v>
      </c>
    </row>
    <row r="179" spans="1:4" ht="12.75">
      <c r="A179" s="11" t="s">
        <v>17</v>
      </c>
      <c r="B179" t="s">
        <v>342</v>
      </c>
      <c r="C179" t="s">
        <v>343</v>
      </c>
      <c r="D179" t="s">
        <v>62</v>
      </c>
    </row>
    <row r="180" spans="1:4" ht="12.75">
      <c r="A180" s="11" t="s">
        <v>17</v>
      </c>
      <c r="B180" t="s">
        <v>344</v>
      </c>
      <c r="C180" t="s">
        <v>340</v>
      </c>
      <c r="D180" t="s">
        <v>62</v>
      </c>
    </row>
    <row r="181" spans="1:4" ht="12.75">
      <c r="A181" s="11" t="s">
        <v>17</v>
      </c>
      <c r="B181" t="s">
        <v>345</v>
      </c>
      <c r="C181" t="s">
        <v>346</v>
      </c>
      <c r="D181" t="s">
        <v>62</v>
      </c>
    </row>
    <row r="182" spans="1:4" ht="12.75">
      <c r="A182" s="11" t="s">
        <v>17</v>
      </c>
      <c r="B182" t="s">
        <v>347</v>
      </c>
      <c r="C182" t="s">
        <v>340</v>
      </c>
      <c r="D182" t="s">
        <v>62</v>
      </c>
    </row>
    <row r="183" spans="1:4" ht="12.75">
      <c r="A183" s="11" t="s">
        <v>17</v>
      </c>
      <c r="B183" t="s">
        <v>348</v>
      </c>
      <c r="C183" t="s">
        <v>349</v>
      </c>
      <c r="D183" t="s">
        <v>62</v>
      </c>
    </row>
    <row r="184" spans="1:4" ht="12.75">
      <c r="A184" s="11" t="s">
        <v>17</v>
      </c>
      <c r="B184" t="s">
        <v>350</v>
      </c>
      <c r="C184" t="s">
        <v>351</v>
      </c>
      <c r="D184" t="s">
        <v>62</v>
      </c>
    </row>
    <row r="185" spans="1:4" ht="12.75">
      <c r="A185" s="11" t="s">
        <v>17</v>
      </c>
      <c r="B185" t="s">
        <v>352</v>
      </c>
      <c r="C185" t="s">
        <v>351</v>
      </c>
      <c r="D185" t="s">
        <v>62</v>
      </c>
    </row>
    <row r="186" spans="1:4" ht="12.75">
      <c r="A186" s="11" t="s">
        <v>17</v>
      </c>
      <c r="B186" t="s">
        <v>353</v>
      </c>
      <c r="C186" t="s">
        <v>354</v>
      </c>
      <c r="D186" t="s">
        <v>62</v>
      </c>
    </row>
    <row r="187" spans="1:4" ht="12.75">
      <c r="A187" s="11" t="s">
        <v>17</v>
      </c>
      <c r="B187" t="s">
        <v>355</v>
      </c>
      <c r="C187" t="s">
        <v>356</v>
      </c>
      <c r="D187" t="s">
        <v>62</v>
      </c>
    </row>
    <row r="188" spans="1:4" ht="12.75">
      <c r="A188" s="11" t="s">
        <v>17</v>
      </c>
      <c r="B188" t="s">
        <v>357</v>
      </c>
      <c r="C188" t="s">
        <v>358</v>
      </c>
      <c r="D188" t="s">
        <v>62</v>
      </c>
    </row>
    <row r="189" spans="1:4" ht="12.75">
      <c r="A189" s="11" t="s">
        <v>17</v>
      </c>
      <c r="B189" t="s">
        <v>359</v>
      </c>
      <c r="C189" t="s">
        <v>360</v>
      </c>
      <c r="D189" t="s">
        <v>62</v>
      </c>
    </row>
    <row r="190" spans="1:4" ht="12.75">
      <c r="A190" s="11" t="s">
        <v>17</v>
      </c>
      <c r="B190" t="s">
        <v>361</v>
      </c>
      <c r="C190" t="s">
        <v>362</v>
      </c>
      <c r="D190" t="s">
        <v>62</v>
      </c>
    </row>
    <row r="191" spans="1:4" ht="12.75">
      <c r="A191" s="11" t="s">
        <v>17</v>
      </c>
      <c r="B191" t="s">
        <v>363</v>
      </c>
      <c r="C191" t="s">
        <v>364</v>
      </c>
      <c r="D191" t="s">
        <v>62</v>
      </c>
    </row>
    <row r="192" spans="1:4" ht="12.75">
      <c r="A192" s="11" t="s">
        <v>17</v>
      </c>
      <c r="B192" t="s">
        <v>365</v>
      </c>
      <c r="C192" t="s">
        <v>366</v>
      </c>
      <c r="D192" t="s">
        <v>62</v>
      </c>
    </row>
    <row r="193" spans="1:4" ht="12.75">
      <c r="A193" s="11" t="s">
        <v>17</v>
      </c>
      <c r="B193" t="s">
        <v>367</v>
      </c>
      <c r="C193" t="s">
        <v>229</v>
      </c>
      <c r="D193" t="s">
        <v>62</v>
      </c>
    </row>
    <row r="194" spans="1:4" ht="12.75">
      <c r="A194" s="11" t="s">
        <v>17</v>
      </c>
      <c r="B194" t="s">
        <v>368</v>
      </c>
      <c r="C194" t="s">
        <v>369</v>
      </c>
      <c r="D194" t="s">
        <v>62</v>
      </c>
    </row>
    <row r="195" spans="1:4" ht="12.75">
      <c r="A195" s="11" t="s">
        <v>17</v>
      </c>
      <c r="B195" t="s">
        <v>370</v>
      </c>
      <c r="C195" t="s">
        <v>371</v>
      </c>
      <c r="D195" t="s">
        <v>62</v>
      </c>
    </row>
    <row r="196" spans="1:4" ht="12.75">
      <c r="A196" s="11" t="s">
        <v>17</v>
      </c>
      <c r="B196" t="s">
        <v>372</v>
      </c>
      <c r="C196" t="s">
        <v>373</v>
      </c>
      <c r="D196" t="s">
        <v>62</v>
      </c>
    </row>
    <row r="197" spans="1:4" ht="12.75">
      <c r="A197" s="11" t="s">
        <v>17</v>
      </c>
      <c r="B197" t="s">
        <v>374</v>
      </c>
      <c r="C197" t="s">
        <v>375</v>
      </c>
      <c r="D197" t="s">
        <v>62</v>
      </c>
    </row>
    <row r="198" spans="1:4" ht="12.75">
      <c r="A198" s="11" t="s">
        <v>17</v>
      </c>
      <c r="B198" t="s">
        <v>376</v>
      </c>
      <c r="C198" t="s">
        <v>377</v>
      </c>
      <c r="D198" t="s">
        <v>62</v>
      </c>
    </row>
    <row r="199" spans="1:4" ht="12.75">
      <c r="A199" s="11" t="s">
        <v>17</v>
      </c>
      <c r="B199" t="s">
        <v>378</v>
      </c>
      <c r="C199">
        <v>15329</v>
      </c>
      <c r="D199" t="s">
        <v>62</v>
      </c>
    </row>
    <row r="200" spans="1:4" ht="12.75">
      <c r="A200" s="11" t="s">
        <v>17</v>
      </c>
      <c r="B200" t="s">
        <v>379</v>
      </c>
      <c r="C200" t="s">
        <v>380</v>
      </c>
      <c r="D200" t="s">
        <v>62</v>
      </c>
    </row>
    <row r="201" spans="1:4" ht="12.75">
      <c r="A201" s="11" t="s">
        <v>17</v>
      </c>
      <c r="B201" t="s">
        <v>381</v>
      </c>
      <c r="C201" t="s">
        <v>382</v>
      </c>
      <c r="D201" t="s">
        <v>62</v>
      </c>
    </row>
    <row r="202" spans="1:4" ht="12.75">
      <c r="A202" s="11" t="s">
        <v>17</v>
      </c>
      <c r="B202" t="s">
        <v>383</v>
      </c>
      <c r="C202" t="s">
        <v>384</v>
      </c>
      <c r="D202" t="s">
        <v>62</v>
      </c>
    </row>
    <row r="203" spans="1:4" ht="12.75">
      <c r="A203" s="11" t="s">
        <v>17</v>
      </c>
      <c r="B203" t="s">
        <v>385</v>
      </c>
      <c r="C203" t="s">
        <v>386</v>
      </c>
      <c r="D203" t="s">
        <v>62</v>
      </c>
    </row>
    <row r="204" spans="1:4" ht="12.75">
      <c r="A204" s="11" t="s">
        <v>17</v>
      </c>
      <c r="B204" t="s">
        <v>387</v>
      </c>
      <c r="C204" t="s">
        <v>388</v>
      </c>
      <c r="D204" t="s">
        <v>62</v>
      </c>
    </row>
    <row r="205" spans="1:4" ht="12.75">
      <c r="A205" s="11" t="s">
        <v>17</v>
      </c>
      <c r="B205" t="s">
        <v>389</v>
      </c>
      <c r="C205" t="s">
        <v>390</v>
      </c>
      <c r="D205" t="s">
        <v>62</v>
      </c>
    </row>
    <row r="206" spans="1:4" ht="12.75">
      <c r="A206" s="11" t="s">
        <v>17</v>
      </c>
      <c r="B206" t="s">
        <v>391</v>
      </c>
      <c r="C206" t="s">
        <v>392</v>
      </c>
      <c r="D206" t="s">
        <v>62</v>
      </c>
    </row>
    <row r="207" spans="1:4" ht="12.75">
      <c r="A207" s="11" t="s">
        <v>17</v>
      </c>
      <c r="B207" t="s">
        <v>393</v>
      </c>
      <c r="C207" t="s">
        <v>394</v>
      </c>
      <c r="D207" t="s">
        <v>62</v>
      </c>
    </row>
    <row r="208" spans="1:4" ht="12.75">
      <c r="A208" s="11" t="s">
        <v>17</v>
      </c>
      <c r="B208" t="s">
        <v>395</v>
      </c>
      <c r="C208" t="s">
        <v>396</v>
      </c>
      <c r="D208" t="s">
        <v>62</v>
      </c>
    </row>
    <row r="209" spans="1:4" ht="12.75">
      <c r="A209" s="11" t="s">
        <v>17</v>
      </c>
      <c r="B209" t="s">
        <v>397</v>
      </c>
      <c r="C209" t="s">
        <v>398</v>
      </c>
      <c r="D209" t="s">
        <v>62</v>
      </c>
    </row>
    <row r="210" spans="1:4" ht="12.75">
      <c r="A210" s="11" t="s">
        <v>17</v>
      </c>
      <c r="B210" t="s">
        <v>399</v>
      </c>
      <c r="C210" t="s">
        <v>400</v>
      </c>
      <c r="D210" t="s">
        <v>62</v>
      </c>
    </row>
    <row r="211" spans="1:4" ht="12.75">
      <c r="A211" s="11" t="s">
        <v>17</v>
      </c>
      <c r="B211" t="s">
        <v>401</v>
      </c>
      <c r="C211" t="s">
        <v>402</v>
      </c>
      <c r="D211" t="s">
        <v>62</v>
      </c>
    </row>
    <row r="212" spans="1:4" ht="12.75">
      <c r="A212" s="11" t="s">
        <v>17</v>
      </c>
      <c r="B212" t="s">
        <v>403</v>
      </c>
      <c r="C212" t="s">
        <v>404</v>
      </c>
      <c r="D212" t="s">
        <v>62</v>
      </c>
    </row>
    <row r="213" spans="1:4" ht="12.75">
      <c r="A213" s="11" t="s">
        <v>17</v>
      </c>
      <c r="B213" t="s">
        <v>405</v>
      </c>
      <c r="C213" t="s">
        <v>406</v>
      </c>
      <c r="D213" t="s">
        <v>62</v>
      </c>
    </row>
    <row r="214" spans="1:4" ht="12.75">
      <c r="A214" s="11" t="s">
        <v>17</v>
      </c>
      <c r="B214" t="s">
        <v>407</v>
      </c>
      <c r="C214" t="s">
        <v>408</v>
      </c>
      <c r="D214" t="s">
        <v>62</v>
      </c>
    </row>
    <row r="215" spans="1:4" ht="12.75">
      <c r="A215" s="11" t="s">
        <v>17</v>
      </c>
      <c r="B215" t="s">
        <v>409</v>
      </c>
      <c r="C215" t="s">
        <v>410</v>
      </c>
      <c r="D215" t="s">
        <v>62</v>
      </c>
    </row>
    <row r="216" spans="1:4" ht="12.75">
      <c r="A216" s="11" t="s">
        <v>17</v>
      </c>
      <c r="B216" t="s">
        <v>411</v>
      </c>
      <c r="C216" t="s">
        <v>412</v>
      </c>
      <c r="D216" t="s">
        <v>62</v>
      </c>
    </row>
    <row r="217" spans="1:4" ht="12.75">
      <c r="A217" s="11" t="s">
        <v>17</v>
      </c>
      <c r="B217" t="s">
        <v>413</v>
      </c>
      <c r="C217" t="s">
        <v>414</v>
      </c>
      <c r="D217" t="s">
        <v>62</v>
      </c>
    </row>
    <row r="218" spans="1:4" ht="12.75">
      <c r="A218" s="11" t="s">
        <v>17</v>
      </c>
      <c r="B218" t="s">
        <v>415</v>
      </c>
      <c r="C218" t="s">
        <v>338</v>
      </c>
      <c r="D218" t="s">
        <v>62</v>
      </c>
    </row>
    <row r="219" spans="1:4" ht="12.75">
      <c r="A219" s="11" t="s">
        <v>17</v>
      </c>
      <c r="B219" t="s">
        <v>416</v>
      </c>
      <c r="C219" t="s">
        <v>417</v>
      </c>
      <c r="D219" t="s">
        <v>62</v>
      </c>
    </row>
    <row r="220" spans="1:4" ht="12.75">
      <c r="A220" s="11" t="s">
        <v>17</v>
      </c>
      <c r="B220" t="s">
        <v>418</v>
      </c>
      <c r="C220" t="s">
        <v>419</v>
      </c>
      <c r="D220" t="s">
        <v>62</v>
      </c>
    </row>
    <row r="221" spans="1:4" ht="12.75">
      <c r="A221" s="11" t="s">
        <v>17</v>
      </c>
      <c r="B221" t="s">
        <v>420</v>
      </c>
      <c r="C221" t="s">
        <v>419</v>
      </c>
      <c r="D221" t="s">
        <v>62</v>
      </c>
    </row>
    <row r="222" spans="1:4" ht="12.75">
      <c r="A222" s="11" t="s">
        <v>17</v>
      </c>
      <c r="B222" t="s">
        <v>421</v>
      </c>
      <c r="C222" t="s">
        <v>419</v>
      </c>
      <c r="D222" t="s">
        <v>62</v>
      </c>
    </row>
    <row r="223" spans="1:4" ht="12.75">
      <c r="A223" s="11" t="s">
        <v>17</v>
      </c>
      <c r="B223" t="s">
        <v>422</v>
      </c>
      <c r="C223" t="s">
        <v>423</v>
      </c>
      <c r="D223" t="s">
        <v>62</v>
      </c>
    </row>
    <row r="224" spans="1:4" ht="12.75">
      <c r="A224" s="11" t="s">
        <v>17</v>
      </c>
      <c r="B224" t="s">
        <v>424</v>
      </c>
      <c r="C224" t="s">
        <v>206</v>
      </c>
      <c r="D224" t="s">
        <v>62</v>
      </c>
    </row>
    <row r="225" spans="1:4" ht="12.75">
      <c r="A225" s="11" t="s">
        <v>17</v>
      </c>
      <c r="B225" t="s">
        <v>425</v>
      </c>
      <c r="C225" t="s">
        <v>426</v>
      </c>
      <c r="D225" t="s">
        <v>62</v>
      </c>
    </row>
    <row r="226" spans="1:4" ht="12.75">
      <c r="A226" s="11" t="s">
        <v>17</v>
      </c>
      <c r="B226" t="s">
        <v>427</v>
      </c>
      <c r="C226" t="s">
        <v>428</v>
      </c>
      <c r="D226" t="s">
        <v>62</v>
      </c>
    </row>
    <row r="227" spans="1:4" ht="12.75">
      <c r="A227" s="11" t="s">
        <v>17</v>
      </c>
      <c r="B227" t="s">
        <v>429</v>
      </c>
      <c r="C227" t="s">
        <v>430</v>
      </c>
      <c r="D227" t="s">
        <v>62</v>
      </c>
    </row>
    <row r="228" spans="1:4" ht="12.75">
      <c r="A228" s="11" t="s">
        <v>17</v>
      </c>
      <c r="B228" t="s">
        <v>431</v>
      </c>
      <c r="C228" t="s">
        <v>430</v>
      </c>
      <c r="D228" t="s">
        <v>62</v>
      </c>
    </row>
    <row r="229" spans="1:4" ht="12.75">
      <c r="A229" s="11" t="s">
        <v>17</v>
      </c>
      <c r="B229" t="s">
        <v>432</v>
      </c>
      <c r="C229" t="s">
        <v>430</v>
      </c>
      <c r="D229" t="s">
        <v>62</v>
      </c>
    </row>
    <row r="230" spans="1:4" ht="12.75">
      <c r="A230" s="11" t="s">
        <v>17</v>
      </c>
      <c r="B230" t="s">
        <v>433</v>
      </c>
      <c r="C230" t="s">
        <v>430</v>
      </c>
      <c r="D230" t="s">
        <v>62</v>
      </c>
    </row>
    <row r="231" spans="1:4" ht="12.75">
      <c r="A231" s="11" t="s">
        <v>17</v>
      </c>
      <c r="B231" t="s">
        <v>434</v>
      </c>
      <c r="C231" t="s">
        <v>435</v>
      </c>
      <c r="D231" t="s">
        <v>62</v>
      </c>
    </row>
    <row r="232" spans="1:4" ht="12.75">
      <c r="A232" s="11" t="s">
        <v>17</v>
      </c>
      <c r="B232" t="s">
        <v>436</v>
      </c>
      <c r="C232" t="s">
        <v>437</v>
      </c>
      <c r="D232" t="s">
        <v>62</v>
      </c>
    </row>
    <row r="233" spans="1:4" ht="12.75">
      <c r="A233" s="11" t="s">
        <v>17</v>
      </c>
      <c r="B233" t="s">
        <v>438</v>
      </c>
      <c r="C233" t="s">
        <v>23</v>
      </c>
      <c r="D233" t="s">
        <v>62</v>
      </c>
    </row>
    <row r="234" spans="1:4" ht="12.75">
      <c r="A234" s="11" t="s">
        <v>17</v>
      </c>
      <c r="B234" t="s">
        <v>439</v>
      </c>
      <c r="C234" t="s">
        <v>440</v>
      </c>
      <c r="D234" t="s">
        <v>62</v>
      </c>
    </row>
    <row r="235" spans="1:4" ht="12.75">
      <c r="A235" s="11" t="s">
        <v>17</v>
      </c>
      <c r="B235" t="s">
        <v>441</v>
      </c>
      <c r="C235" t="s">
        <v>442</v>
      </c>
      <c r="D235" t="s">
        <v>62</v>
      </c>
    </row>
    <row r="236" spans="1:4" ht="12.75">
      <c r="A236" s="11" t="s">
        <v>17</v>
      </c>
      <c r="B236" t="s">
        <v>443</v>
      </c>
      <c r="C236" t="s">
        <v>444</v>
      </c>
      <c r="D236" t="s">
        <v>62</v>
      </c>
    </row>
    <row r="237" spans="1:4" ht="12.75">
      <c r="A237" s="11" t="s">
        <v>17</v>
      </c>
      <c r="B237" t="s">
        <v>445</v>
      </c>
      <c r="C237" t="s">
        <v>446</v>
      </c>
      <c r="D237" t="s">
        <v>62</v>
      </c>
    </row>
    <row r="238" spans="1:4" ht="12.75">
      <c r="A238" s="11" t="s">
        <v>17</v>
      </c>
      <c r="B238" t="s">
        <v>447</v>
      </c>
      <c r="C238" t="s">
        <v>448</v>
      </c>
      <c r="D238" t="s">
        <v>62</v>
      </c>
    </row>
    <row r="239" spans="1:4" ht="12.75">
      <c r="A239" s="11" t="s">
        <v>17</v>
      </c>
      <c r="B239" t="s">
        <v>449</v>
      </c>
      <c r="C239" t="s">
        <v>450</v>
      </c>
      <c r="D239" t="s">
        <v>62</v>
      </c>
    </row>
    <row r="240" spans="1:4" ht="12.75">
      <c r="A240" s="11" t="s">
        <v>17</v>
      </c>
      <c r="B240" t="s">
        <v>451</v>
      </c>
      <c r="C240" t="s">
        <v>452</v>
      </c>
      <c r="D240" t="s">
        <v>62</v>
      </c>
    </row>
    <row r="241" spans="1:4" ht="12.75">
      <c r="A241" s="11" t="s">
        <v>17</v>
      </c>
      <c r="B241" t="s">
        <v>453</v>
      </c>
      <c r="C241" t="s">
        <v>454</v>
      </c>
      <c r="D241" t="s">
        <v>62</v>
      </c>
    </row>
    <row r="242" spans="1:4" ht="12.75">
      <c r="A242" s="11" t="s">
        <v>17</v>
      </c>
      <c r="B242" t="s">
        <v>455</v>
      </c>
      <c r="C242" t="s">
        <v>456</v>
      </c>
      <c r="D242" t="s">
        <v>62</v>
      </c>
    </row>
    <row r="243" spans="1:4" ht="12.75">
      <c r="A243" s="11" t="s">
        <v>17</v>
      </c>
      <c r="B243" t="s">
        <v>457</v>
      </c>
      <c r="C243" t="s">
        <v>458</v>
      </c>
      <c r="D243" t="s">
        <v>62</v>
      </c>
    </row>
    <row r="244" spans="1:4" ht="12.75">
      <c r="A244" s="11" t="s">
        <v>17</v>
      </c>
      <c r="B244" t="s">
        <v>459</v>
      </c>
      <c r="C244" t="s">
        <v>460</v>
      </c>
      <c r="D244" t="s">
        <v>62</v>
      </c>
    </row>
    <row r="245" spans="1:4" ht="12.75">
      <c r="A245" s="11" t="s">
        <v>17</v>
      </c>
      <c r="B245" t="s">
        <v>461</v>
      </c>
      <c r="C245" t="s">
        <v>462</v>
      </c>
      <c r="D245" t="s">
        <v>62</v>
      </c>
    </row>
    <row r="246" spans="1:4" ht="12.75">
      <c r="A246" s="11" t="s">
        <v>17</v>
      </c>
      <c r="B246" t="s">
        <v>463</v>
      </c>
      <c r="C246" t="s">
        <v>464</v>
      </c>
      <c r="D246" t="s">
        <v>62</v>
      </c>
    </row>
    <row r="247" spans="1:4" ht="12.75">
      <c r="A247" s="11" t="s">
        <v>17</v>
      </c>
      <c r="B247" t="s">
        <v>465</v>
      </c>
      <c r="C247" t="s">
        <v>466</v>
      </c>
      <c r="D247" t="s">
        <v>62</v>
      </c>
    </row>
    <row r="248" spans="1:4" ht="12.75">
      <c r="A248" s="11" t="s">
        <v>17</v>
      </c>
      <c r="B248" t="s">
        <v>467</v>
      </c>
      <c r="C248" t="s">
        <v>468</v>
      </c>
      <c r="D248" t="s">
        <v>62</v>
      </c>
    </row>
    <row r="249" spans="1:4" ht="12.75">
      <c r="A249" s="11" t="s">
        <v>17</v>
      </c>
      <c r="B249" t="s">
        <v>469</v>
      </c>
      <c r="C249" t="s">
        <v>470</v>
      </c>
      <c r="D249" t="s">
        <v>62</v>
      </c>
    </row>
    <row r="250" spans="1:4" ht="12.75">
      <c r="A250" s="11" t="s">
        <v>17</v>
      </c>
      <c r="B250" t="s">
        <v>471</v>
      </c>
      <c r="C250" t="s">
        <v>472</v>
      </c>
      <c r="D250" t="s">
        <v>62</v>
      </c>
    </row>
    <row r="251" spans="1:4" ht="12.75">
      <c r="A251" s="11" t="s">
        <v>17</v>
      </c>
      <c r="B251" t="s">
        <v>473</v>
      </c>
      <c r="C251" t="s">
        <v>474</v>
      </c>
      <c r="D251" t="s">
        <v>62</v>
      </c>
    </row>
    <row r="252" spans="1:4" ht="12.75">
      <c r="A252" s="11" t="s">
        <v>17</v>
      </c>
      <c r="B252" t="s">
        <v>475</v>
      </c>
      <c r="C252" t="s">
        <v>476</v>
      </c>
      <c r="D252" t="s">
        <v>62</v>
      </c>
    </row>
    <row r="253" spans="1:4" ht="12.75">
      <c r="A253" s="11" t="s">
        <v>17</v>
      </c>
      <c r="B253" t="s">
        <v>477</v>
      </c>
      <c r="C253" t="s">
        <v>478</v>
      </c>
      <c r="D253" t="s">
        <v>62</v>
      </c>
    </row>
    <row r="254" spans="1:4" ht="12.75">
      <c r="A254" s="11" t="s">
        <v>17</v>
      </c>
      <c r="B254" t="s">
        <v>479</v>
      </c>
      <c r="C254" t="s">
        <v>480</v>
      </c>
      <c r="D254" t="s">
        <v>62</v>
      </c>
    </row>
    <row r="255" spans="1:4" ht="12.75">
      <c r="A255" s="11" t="s">
        <v>17</v>
      </c>
      <c r="B255" t="s">
        <v>481</v>
      </c>
      <c r="C255" t="s">
        <v>482</v>
      </c>
      <c r="D255" t="s">
        <v>62</v>
      </c>
    </row>
    <row r="256" spans="1:4" ht="12.75">
      <c r="A256" s="11" t="s">
        <v>17</v>
      </c>
      <c r="B256" t="s">
        <v>483</v>
      </c>
      <c r="C256" t="s">
        <v>354</v>
      </c>
      <c r="D256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PUBLIC</vt:lpstr>
      <vt:lpstr>OPEN</vt:lpstr>
      <vt:lpstr>CLOSED</vt:lpstr>
      <vt:lpstr>INFO</vt:lpstr>
      <vt:lpstr>MASTER</vt:lpstr>
      <vt:lpstr>RESPONSES</vt:lpstr>
      <vt:lpstr>UNKNOWN</vt:lpstr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Khemraj</dc:creator>
  <cp:lastModifiedBy>DAN R</cp:lastModifiedBy>
  <dcterms:created xsi:type="dcterms:W3CDTF">2017-05-15T18:25:10Z</dcterms:created>
  <dcterms:modified xsi:type="dcterms:W3CDTF">2021-01-06T15:28:02Z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c74a16bb-48e7-4347-a7ec-f7de6b11e7cc</vt:lpwstr>
  </property>
</Properties>
</file>